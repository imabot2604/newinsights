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Babu\Downloads\"/>
    </mc:Choice>
  </mc:AlternateContent>
  <xr:revisionPtr revIDLastSave="0" documentId="13_ncr:1_{A816E7CE-EB08-4F2C-9811-E8038D4DB1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bined" sheetId="1" r:id="rId1"/>
  </sheets>
  <definedNames>
    <definedName name="_xlnm.Print_Titles" localSheetId="0">Combined!$1:$7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03" i="1" l="1"/>
  <c r="L1103" i="1"/>
  <c r="H1103" i="1"/>
  <c r="G1103" i="1"/>
  <c r="E1103" i="1"/>
  <c r="D1103" i="1"/>
  <c r="D82" i="1" s="1"/>
  <c r="M1101" i="1"/>
  <c r="L1101" i="1"/>
  <c r="K1101" i="1"/>
  <c r="K1103" i="1" s="1"/>
  <c r="J1101" i="1"/>
  <c r="J1103" i="1" s="1"/>
  <c r="I1101" i="1"/>
  <c r="I1103" i="1" s="1"/>
  <c r="H1101" i="1"/>
  <c r="G1101" i="1"/>
  <c r="F1101" i="1"/>
  <c r="F1103" i="1" s="1"/>
  <c r="F82" i="1" s="1"/>
  <c r="E1101" i="1"/>
  <c r="D1101" i="1"/>
  <c r="C1101" i="1"/>
  <c r="C1103" i="1" s="1"/>
  <c r="B1101" i="1"/>
  <c r="B1103" i="1" s="1"/>
  <c r="N1097" i="1"/>
  <c r="N1096" i="1"/>
  <c r="L1091" i="1"/>
  <c r="K1091" i="1"/>
  <c r="I1091" i="1"/>
  <c r="H1091" i="1"/>
  <c r="G1091" i="1"/>
  <c r="D1091" i="1"/>
  <c r="C1091" i="1"/>
  <c r="N1089" i="1"/>
  <c r="N1091" i="1" s="1"/>
  <c r="M1089" i="1"/>
  <c r="M1091" i="1" s="1"/>
  <c r="L1089" i="1"/>
  <c r="K1089" i="1"/>
  <c r="J1089" i="1"/>
  <c r="J1091" i="1" s="1"/>
  <c r="I1089" i="1"/>
  <c r="H1089" i="1"/>
  <c r="G1089" i="1"/>
  <c r="F1089" i="1"/>
  <c r="F1091" i="1" s="1"/>
  <c r="E1089" i="1"/>
  <c r="E1091" i="1" s="1"/>
  <c r="D1089" i="1"/>
  <c r="C1089" i="1"/>
  <c r="B1089" i="1"/>
  <c r="B1091" i="1" s="1"/>
  <c r="N1085" i="1"/>
  <c r="N1084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N1074" i="1"/>
  <c r="N1073" i="1"/>
  <c r="N1078" i="1" s="1"/>
  <c r="L1068" i="1"/>
  <c r="K1068" i="1"/>
  <c r="G1068" i="1"/>
  <c r="F1068" i="1"/>
  <c r="D1068" i="1"/>
  <c r="C1068" i="1"/>
  <c r="M1066" i="1"/>
  <c r="M1068" i="1" s="1"/>
  <c r="L1066" i="1"/>
  <c r="K1066" i="1"/>
  <c r="J1066" i="1"/>
  <c r="J1068" i="1" s="1"/>
  <c r="I1066" i="1"/>
  <c r="I1068" i="1" s="1"/>
  <c r="H1066" i="1"/>
  <c r="H1068" i="1" s="1"/>
  <c r="G1066" i="1"/>
  <c r="F1066" i="1"/>
  <c r="E1066" i="1"/>
  <c r="E1068" i="1" s="1"/>
  <c r="D1066" i="1"/>
  <c r="C1066" i="1"/>
  <c r="B1066" i="1"/>
  <c r="B1068" i="1" s="1"/>
  <c r="N1062" i="1"/>
  <c r="N1061" i="1"/>
  <c r="K1056" i="1"/>
  <c r="J1056" i="1"/>
  <c r="H1056" i="1"/>
  <c r="G1056" i="1"/>
  <c r="C1056" i="1"/>
  <c r="B1056" i="1"/>
  <c r="M1054" i="1"/>
  <c r="M1056" i="1" s="1"/>
  <c r="L1054" i="1"/>
  <c r="L1056" i="1" s="1"/>
  <c r="K1054" i="1"/>
  <c r="J1054" i="1"/>
  <c r="I1054" i="1"/>
  <c r="I1056" i="1" s="1"/>
  <c r="H1054" i="1"/>
  <c r="G1054" i="1"/>
  <c r="F1054" i="1"/>
  <c r="F1056" i="1" s="1"/>
  <c r="E1054" i="1"/>
  <c r="E1056" i="1" s="1"/>
  <c r="D1054" i="1"/>
  <c r="D1056" i="1" s="1"/>
  <c r="C1054" i="1"/>
  <c r="B1054" i="1"/>
  <c r="N1050" i="1"/>
  <c r="N1049" i="1"/>
  <c r="N1048" i="1"/>
  <c r="N1047" i="1"/>
  <c r="N1054" i="1" s="1"/>
  <c r="N1056" i="1" s="1"/>
  <c r="N1042" i="1"/>
  <c r="M1042" i="1"/>
  <c r="I1042" i="1"/>
  <c r="H1042" i="1"/>
  <c r="F1042" i="1"/>
  <c r="E1042" i="1"/>
  <c r="N1040" i="1"/>
  <c r="M1040" i="1"/>
  <c r="L1040" i="1"/>
  <c r="L1042" i="1" s="1"/>
  <c r="K1040" i="1"/>
  <c r="K1042" i="1" s="1"/>
  <c r="J1040" i="1"/>
  <c r="J1042" i="1" s="1"/>
  <c r="I1040" i="1"/>
  <c r="H1040" i="1"/>
  <c r="G1040" i="1"/>
  <c r="G1042" i="1" s="1"/>
  <c r="F1040" i="1"/>
  <c r="E1040" i="1"/>
  <c r="D1040" i="1"/>
  <c r="D1042" i="1" s="1"/>
  <c r="C1040" i="1"/>
  <c r="C1042" i="1" s="1"/>
  <c r="B1040" i="1"/>
  <c r="B1042" i="1" s="1"/>
  <c r="N1036" i="1"/>
  <c r="N1035" i="1"/>
  <c r="M1030" i="1"/>
  <c r="L1030" i="1"/>
  <c r="J1030" i="1"/>
  <c r="I1030" i="1"/>
  <c r="E1030" i="1"/>
  <c r="D1030" i="1"/>
  <c r="B1030" i="1"/>
  <c r="B58" i="1" s="1"/>
  <c r="N1028" i="1"/>
  <c r="N1030" i="1" s="1"/>
  <c r="M1028" i="1"/>
  <c r="L1028" i="1"/>
  <c r="K1028" i="1"/>
  <c r="K1030" i="1" s="1"/>
  <c r="J1028" i="1"/>
  <c r="I1028" i="1"/>
  <c r="H1028" i="1"/>
  <c r="H1030" i="1" s="1"/>
  <c r="G1028" i="1"/>
  <c r="G1030" i="1" s="1"/>
  <c r="G58" i="1" s="1"/>
  <c r="F1028" i="1"/>
  <c r="F1030" i="1" s="1"/>
  <c r="E1028" i="1"/>
  <c r="D1028" i="1"/>
  <c r="C1028" i="1"/>
  <c r="C1030" i="1" s="1"/>
  <c r="B1028" i="1"/>
  <c r="N1024" i="1"/>
  <c r="N1023" i="1"/>
  <c r="N1018" i="1"/>
  <c r="M1018" i="1"/>
  <c r="I1018" i="1"/>
  <c r="H1018" i="1"/>
  <c r="F1018" i="1"/>
  <c r="E1018" i="1"/>
  <c r="N1016" i="1"/>
  <c r="M1016" i="1"/>
  <c r="L1016" i="1"/>
  <c r="L1018" i="1" s="1"/>
  <c r="L57" i="1" s="1"/>
  <c r="K1016" i="1"/>
  <c r="K1018" i="1" s="1"/>
  <c r="J1016" i="1"/>
  <c r="J1018" i="1" s="1"/>
  <c r="I1016" i="1"/>
  <c r="H1016" i="1"/>
  <c r="G1016" i="1"/>
  <c r="G1018" i="1" s="1"/>
  <c r="F1016" i="1"/>
  <c r="E1016" i="1"/>
  <c r="D1016" i="1"/>
  <c r="D1018" i="1" s="1"/>
  <c r="D57" i="1" s="1"/>
  <c r="C1016" i="1"/>
  <c r="C1018" i="1" s="1"/>
  <c r="B1016" i="1"/>
  <c r="B1018" i="1" s="1"/>
  <c r="N1012" i="1"/>
  <c r="N1011" i="1"/>
  <c r="L998" i="1"/>
  <c r="K998" i="1"/>
  <c r="G998" i="1"/>
  <c r="F998" i="1"/>
  <c r="D998" i="1"/>
  <c r="C998" i="1"/>
  <c r="C47" i="1" s="1"/>
  <c r="M996" i="1"/>
  <c r="M998" i="1" s="1"/>
  <c r="L996" i="1"/>
  <c r="K996" i="1"/>
  <c r="J996" i="1"/>
  <c r="J998" i="1" s="1"/>
  <c r="I996" i="1"/>
  <c r="I998" i="1" s="1"/>
  <c r="H996" i="1"/>
  <c r="H998" i="1" s="1"/>
  <c r="G996" i="1"/>
  <c r="F996" i="1"/>
  <c r="E996" i="1"/>
  <c r="E998" i="1" s="1"/>
  <c r="D996" i="1"/>
  <c r="C996" i="1"/>
  <c r="B996" i="1"/>
  <c r="B998" i="1" s="1"/>
  <c r="N992" i="1"/>
  <c r="N991" i="1"/>
  <c r="N990" i="1"/>
  <c r="N989" i="1"/>
  <c r="N988" i="1"/>
  <c r="B983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N938" i="1"/>
  <c r="N937" i="1"/>
  <c r="N936" i="1"/>
  <c r="N935" i="1"/>
  <c r="N934" i="1"/>
  <c r="N933" i="1"/>
  <c r="N932" i="1"/>
  <c r="I929" i="1"/>
  <c r="I942" i="1" s="1"/>
  <c r="I981" i="1" s="1"/>
  <c r="I983" i="1" s="1"/>
  <c r="H929" i="1"/>
  <c r="H942" i="1" s="1"/>
  <c r="H981" i="1" s="1"/>
  <c r="H983" i="1" s="1"/>
  <c r="H46" i="1" s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N927" i="1"/>
  <c r="N924" i="1"/>
  <c r="N929" i="1" s="1"/>
  <c r="M924" i="1"/>
  <c r="M929" i="1" s="1"/>
  <c r="M942" i="1" s="1"/>
  <c r="L924" i="1"/>
  <c r="L929" i="1" s="1"/>
  <c r="K924" i="1"/>
  <c r="K929" i="1" s="1"/>
  <c r="K942" i="1" s="1"/>
  <c r="K981" i="1" s="1"/>
  <c r="K983" i="1" s="1"/>
  <c r="K46" i="1" s="1"/>
  <c r="J924" i="1"/>
  <c r="J929" i="1" s="1"/>
  <c r="J942" i="1" s="1"/>
  <c r="J981" i="1" s="1"/>
  <c r="J983" i="1" s="1"/>
  <c r="J46" i="1" s="1"/>
  <c r="I924" i="1"/>
  <c r="H924" i="1"/>
  <c r="G924" i="1"/>
  <c r="G929" i="1" s="1"/>
  <c r="G942" i="1" s="1"/>
  <c r="G981" i="1" s="1"/>
  <c r="G983" i="1" s="1"/>
  <c r="G46" i="1" s="1"/>
  <c r="F924" i="1"/>
  <c r="F929" i="1" s="1"/>
  <c r="F942" i="1" s="1"/>
  <c r="F981" i="1" s="1"/>
  <c r="F983" i="1" s="1"/>
  <c r="E924" i="1"/>
  <c r="E929" i="1" s="1"/>
  <c r="E942" i="1" s="1"/>
  <c r="D924" i="1"/>
  <c r="D929" i="1" s="1"/>
  <c r="C924" i="1"/>
  <c r="C929" i="1" s="1"/>
  <c r="C942" i="1" s="1"/>
  <c r="C981" i="1" s="1"/>
  <c r="C983" i="1" s="1"/>
  <c r="C46" i="1" s="1"/>
  <c r="B924" i="1"/>
  <c r="B929" i="1" s="1"/>
  <c r="B942" i="1" s="1"/>
  <c r="B981" i="1" s="1"/>
  <c r="N923" i="1"/>
  <c r="M914" i="1"/>
  <c r="L914" i="1"/>
  <c r="J914" i="1"/>
  <c r="I914" i="1"/>
  <c r="I45" i="1" s="1"/>
  <c r="E914" i="1"/>
  <c r="D914" i="1"/>
  <c r="B914" i="1"/>
  <c r="M912" i="1"/>
  <c r="L912" i="1"/>
  <c r="K912" i="1"/>
  <c r="K914" i="1" s="1"/>
  <c r="J912" i="1"/>
  <c r="I912" i="1"/>
  <c r="H912" i="1"/>
  <c r="H914" i="1" s="1"/>
  <c r="G912" i="1"/>
  <c r="G914" i="1" s="1"/>
  <c r="F912" i="1"/>
  <c r="F914" i="1" s="1"/>
  <c r="E912" i="1"/>
  <c r="D912" i="1"/>
  <c r="C912" i="1"/>
  <c r="C914" i="1" s="1"/>
  <c r="B912" i="1"/>
  <c r="N908" i="1"/>
  <c r="N907" i="1"/>
  <c r="N906" i="1"/>
  <c r="N905" i="1"/>
  <c r="N912" i="1" s="1"/>
  <c r="N914" i="1" s="1"/>
  <c r="N45" i="1" s="1"/>
  <c r="M898" i="1"/>
  <c r="M900" i="1" s="1"/>
  <c r="L898" i="1"/>
  <c r="L900" i="1" s="1"/>
  <c r="M894" i="1"/>
  <c r="L894" i="1"/>
  <c r="K894" i="1"/>
  <c r="J894" i="1"/>
  <c r="I894" i="1"/>
  <c r="H894" i="1"/>
  <c r="G894" i="1"/>
  <c r="F894" i="1"/>
  <c r="E894" i="1"/>
  <c r="D894" i="1"/>
  <c r="C894" i="1"/>
  <c r="B894" i="1"/>
  <c r="N891" i="1"/>
  <c r="N890" i="1"/>
  <c r="N889" i="1"/>
  <c r="N888" i="1"/>
  <c r="N887" i="1"/>
  <c r="N886" i="1"/>
  <c r="N885" i="1"/>
  <c r="N884" i="1"/>
  <c r="N883" i="1"/>
  <c r="N882" i="1"/>
  <c r="N881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N874" i="1"/>
  <c r="N873" i="1"/>
  <c r="N872" i="1"/>
  <c r="N871" i="1"/>
  <c r="N875" i="1" s="1"/>
  <c r="N870" i="1"/>
  <c r="N869" i="1"/>
  <c r="N868" i="1"/>
  <c r="K865" i="1"/>
  <c r="K878" i="1" s="1"/>
  <c r="K898" i="1" s="1"/>
  <c r="K900" i="1" s="1"/>
  <c r="J865" i="1"/>
  <c r="J878" i="1" s="1"/>
  <c r="J898" i="1" s="1"/>
  <c r="J900" i="1" s="1"/>
  <c r="J44" i="1" s="1"/>
  <c r="C865" i="1"/>
  <c r="C878" i="1" s="1"/>
  <c r="C898" i="1" s="1"/>
  <c r="C900" i="1" s="1"/>
  <c r="B865" i="1"/>
  <c r="B878" i="1" s="1"/>
  <c r="B898" i="1" s="1"/>
  <c r="B900" i="1" s="1"/>
  <c r="B44" i="1" s="1"/>
  <c r="M864" i="1"/>
  <c r="L864" i="1"/>
  <c r="K864" i="1"/>
  <c r="J864" i="1"/>
  <c r="I864" i="1"/>
  <c r="H864" i="1"/>
  <c r="G864" i="1"/>
  <c r="F864" i="1"/>
  <c r="E864" i="1"/>
  <c r="D864" i="1"/>
  <c r="C864" i="1"/>
  <c r="B864" i="1"/>
  <c r="N863" i="1"/>
  <c r="N864" i="1" s="1"/>
  <c r="N860" i="1"/>
  <c r="M860" i="1"/>
  <c r="M865" i="1" s="1"/>
  <c r="M878" i="1" s="1"/>
  <c r="L860" i="1"/>
  <c r="L865" i="1" s="1"/>
  <c r="L878" i="1" s="1"/>
  <c r="K860" i="1"/>
  <c r="J860" i="1"/>
  <c r="I860" i="1"/>
  <c r="I865" i="1" s="1"/>
  <c r="I878" i="1" s="1"/>
  <c r="I898" i="1" s="1"/>
  <c r="I900" i="1" s="1"/>
  <c r="I44" i="1" s="1"/>
  <c r="H860" i="1"/>
  <c r="H865" i="1" s="1"/>
  <c r="H878" i="1" s="1"/>
  <c r="H898" i="1" s="1"/>
  <c r="H900" i="1" s="1"/>
  <c r="H44" i="1" s="1"/>
  <c r="G860" i="1"/>
  <c r="G865" i="1" s="1"/>
  <c r="G878" i="1" s="1"/>
  <c r="G898" i="1" s="1"/>
  <c r="G900" i="1" s="1"/>
  <c r="G44" i="1" s="1"/>
  <c r="F860" i="1"/>
  <c r="F865" i="1" s="1"/>
  <c r="E860" i="1"/>
  <c r="E865" i="1" s="1"/>
  <c r="E878" i="1" s="1"/>
  <c r="E898" i="1" s="1"/>
  <c r="E900" i="1" s="1"/>
  <c r="E44" i="1" s="1"/>
  <c r="D860" i="1"/>
  <c r="D865" i="1" s="1"/>
  <c r="D878" i="1" s="1"/>
  <c r="D898" i="1" s="1"/>
  <c r="D900" i="1" s="1"/>
  <c r="C860" i="1"/>
  <c r="B860" i="1"/>
  <c r="N859" i="1"/>
  <c r="N858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N843" i="1"/>
  <c r="N842" i="1"/>
  <c r="N841" i="1"/>
  <c r="I838" i="1"/>
  <c r="I849" i="1" s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N831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N825" i="1"/>
  <c r="N824" i="1"/>
  <c r="N823" i="1"/>
  <c r="N828" i="1" s="1"/>
  <c r="M820" i="1"/>
  <c r="L820" i="1"/>
  <c r="L838" i="1" s="1"/>
  <c r="L849" i="1" s="1"/>
  <c r="L43" i="1" s="1"/>
  <c r="H820" i="1"/>
  <c r="H838" i="1" s="1"/>
  <c r="H849" i="1" s="1"/>
  <c r="G820" i="1"/>
  <c r="G838" i="1" s="1"/>
  <c r="G849" i="1" s="1"/>
  <c r="E820" i="1"/>
  <c r="E838" i="1" s="1"/>
  <c r="E849" i="1" s="1"/>
  <c r="D820" i="1"/>
  <c r="M817" i="1"/>
  <c r="L817" i="1"/>
  <c r="K817" i="1"/>
  <c r="K820" i="1" s="1"/>
  <c r="K838" i="1" s="1"/>
  <c r="K849" i="1" s="1"/>
  <c r="J817" i="1"/>
  <c r="J820" i="1" s="1"/>
  <c r="J838" i="1" s="1"/>
  <c r="J849" i="1" s="1"/>
  <c r="J43" i="1" s="1"/>
  <c r="I817" i="1"/>
  <c r="I820" i="1" s="1"/>
  <c r="H817" i="1"/>
  <c r="G817" i="1"/>
  <c r="F817" i="1"/>
  <c r="F820" i="1" s="1"/>
  <c r="E817" i="1"/>
  <c r="D817" i="1"/>
  <c r="C817" i="1"/>
  <c r="C820" i="1" s="1"/>
  <c r="C838" i="1" s="1"/>
  <c r="C849" i="1" s="1"/>
  <c r="B817" i="1"/>
  <c r="B820" i="1" s="1"/>
  <c r="B838" i="1" s="1"/>
  <c r="B849" i="1" s="1"/>
  <c r="B43" i="1" s="1"/>
  <c r="N816" i="1"/>
  <c r="N817" i="1" s="1"/>
  <c r="N820" i="1" s="1"/>
  <c r="N838" i="1" s="1"/>
  <c r="H808" i="1"/>
  <c r="G808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N778" i="1"/>
  <c r="N777" i="1"/>
  <c r="N776" i="1"/>
  <c r="N775" i="1"/>
  <c r="N774" i="1"/>
  <c r="N773" i="1"/>
  <c r="N772" i="1"/>
  <c r="N771" i="1"/>
  <c r="K768" i="1"/>
  <c r="K782" i="1" s="1"/>
  <c r="K806" i="1" s="1"/>
  <c r="K808" i="1" s="1"/>
  <c r="J768" i="1"/>
  <c r="H768" i="1"/>
  <c r="H782" i="1" s="1"/>
  <c r="H806" i="1" s="1"/>
  <c r="G768" i="1"/>
  <c r="G782" i="1" s="1"/>
  <c r="G806" i="1" s="1"/>
  <c r="C768" i="1"/>
  <c r="B768" i="1"/>
  <c r="B782" i="1" s="1"/>
  <c r="M767" i="1"/>
  <c r="L767" i="1"/>
  <c r="K767" i="1"/>
  <c r="J767" i="1"/>
  <c r="I767" i="1"/>
  <c r="H767" i="1"/>
  <c r="G767" i="1"/>
  <c r="F767" i="1"/>
  <c r="E767" i="1"/>
  <c r="D767" i="1"/>
  <c r="C767" i="1"/>
  <c r="B767" i="1"/>
  <c r="N766" i="1"/>
  <c r="N765" i="1"/>
  <c r="N764" i="1"/>
  <c r="N767" i="1" s="1"/>
  <c r="M761" i="1"/>
  <c r="M768" i="1" s="1"/>
  <c r="M782" i="1" s="1"/>
  <c r="M806" i="1" s="1"/>
  <c r="M808" i="1" s="1"/>
  <c r="L761" i="1"/>
  <c r="L768" i="1" s="1"/>
  <c r="L782" i="1" s="1"/>
  <c r="L806" i="1" s="1"/>
  <c r="L808" i="1" s="1"/>
  <c r="K761" i="1"/>
  <c r="J761" i="1"/>
  <c r="I761" i="1"/>
  <c r="I768" i="1" s="1"/>
  <c r="I782" i="1" s="1"/>
  <c r="I806" i="1" s="1"/>
  <c r="I808" i="1" s="1"/>
  <c r="H761" i="1"/>
  <c r="G761" i="1"/>
  <c r="F761" i="1"/>
  <c r="F768" i="1" s="1"/>
  <c r="F782" i="1" s="1"/>
  <c r="F806" i="1" s="1"/>
  <c r="F808" i="1" s="1"/>
  <c r="F42" i="1" s="1"/>
  <c r="E761" i="1"/>
  <c r="E768" i="1" s="1"/>
  <c r="E782" i="1" s="1"/>
  <c r="E806" i="1" s="1"/>
  <c r="E808" i="1" s="1"/>
  <c r="D761" i="1"/>
  <c r="D768" i="1" s="1"/>
  <c r="D782" i="1" s="1"/>
  <c r="D806" i="1" s="1"/>
  <c r="D808" i="1" s="1"/>
  <c r="C761" i="1"/>
  <c r="B761" i="1"/>
  <c r="N760" i="1"/>
  <c r="N759" i="1"/>
  <c r="N761" i="1" s="1"/>
  <c r="N768" i="1" s="1"/>
  <c r="M745" i="1"/>
  <c r="L745" i="1"/>
  <c r="K745" i="1"/>
  <c r="J745" i="1"/>
  <c r="I745" i="1"/>
  <c r="H745" i="1"/>
  <c r="G745" i="1"/>
  <c r="F745" i="1"/>
  <c r="E745" i="1"/>
  <c r="D745" i="1"/>
  <c r="C745" i="1"/>
  <c r="B745" i="1"/>
  <c r="N741" i="1"/>
  <c r="N740" i="1"/>
  <c r="N739" i="1"/>
  <c r="N738" i="1"/>
  <c r="N737" i="1"/>
  <c r="N736" i="1"/>
  <c r="N735" i="1"/>
  <c r="N734" i="1"/>
  <c r="F728" i="1"/>
  <c r="E728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M723" i="1"/>
  <c r="L723" i="1"/>
  <c r="K723" i="1"/>
  <c r="J723" i="1"/>
  <c r="I723" i="1"/>
  <c r="H723" i="1"/>
  <c r="H728" i="1" s="1"/>
  <c r="G723" i="1"/>
  <c r="F723" i="1"/>
  <c r="E723" i="1"/>
  <c r="D723" i="1"/>
  <c r="C723" i="1"/>
  <c r="B723" i="1"/>
  <c r="M721" i="1"/>
  <c r="M728" i="1" s="1"/>
  <c r="L721" i="1"/>
  <c r="L728" i="1" s="1"/>
  <c r="K721" i="1"/>
  <c r="K728" i="1" s="1"/>
  <c r="J721" i="1"/>
  <c r="J728" i="1" s="1"/>
  <c r="I721" i="1"/>
  <c r="I728" i="1" s="1"/>
  <c r="H721" i="1"/>
  <c r="G721" i="1"/>
  <c r="G728" i="1" s="1"/>
  <c r="F721" i="1"/>
  <c r="E721" i="1"/>
  <c r="D721" i="1"/>
  <c r="D728" i="1" s="1"/>
  <c r="C721" i="1"/>
  <c r="C728" i="1" s="1"/>
  <c r="B721" i="1"/>
  <c r="B728" i="1" s="1"/>
  <c r="M716" i="1"/>
  <c r="L716" i="1"/>
  <c r="K716" i="1"/>
  <c r="J716" i="1"/>
  <c r="I716" i="1"/>
  <c r="H716" i="1"/>
  <c r="G716" i="1"/>
  <c r="F716" i="1"/>
  <c r="E716" i="1"/>
  <c r="D716" i="1"/>
  <c r="C716" i="1"/>
  <c r="B716" i="1"/>
  <c r="N712" i="1"/>
  <c r="N711" i="1"/>
  <c r="N710" i="1"/>
  <c r="N709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N702" i="1"/>
  <c r="N725" i="1" s="1"/>
  <c r="N701" i="1"/>
  <c r="N723" i="1" s="1"/>
  <c r="N700" i="1"/>
  <c r="N706" i="1" s="1"/>
  <c r="H693" i="1"/>
  <c r="G693" i="1"/>
  <c r="M690" i="1"/>
  <c r="L690" i="1"/>
  <c r="G690" i="1"/>
  <c r="E690" i="1"/>
  <c r="D690" i="1"/>
  <c r="M688" i="1"/>
  <c r="M693" i="1" s="1"/>
  <c r="M695" i="1" s="1"/>
  <c r="L688" i="1"/>
  <c r="L693" i="1" s="1"/>
  <c r="K688" i="1"/>
  <c r="K693" i="1" s="1"/>
  <c r="K695" i="1" s="1"/>
  <c r="J688" i="1"/>
  <c r="J693" i="1" s="1"/>
  <c r="J695" i="1" s="1"/>
  <c r="I688" i="1"/>
  <c r="I693" i="1" s="1"/>
  <c r="H688" i="1"/>
  <c r="G688" i="1"/>
  <c r="F688" i="1"/>
  <c r="F693" i="1" s="1"/>
  <c r="E688" i="1"/>
  <c r="E693" i="1" s="1"/>
  <c r="E695" i="1" s="1"/>
  <c r="D688" i="1"/>
  <c r="D693" i="1" s="1"/>
  <c r="C688" i="1"/>
  <c r="C693" i="1" s="1"/>
  <c r="C695" i="1" s="1"/>
  <c r="B688" i="1"/>
  <c r="B693" i="1" s="1"/>
  <c r="B695" i="1" s="1"/>
  <c r="N684" i="1"/>
  <c r="N683" i="1"/>
  <c r="M680" i="1"/>
  <c r="L680" i="1"/>
  <c r="K680" i="1"/>
  <c r="K690" i="1" s="1"/>
  <c r="J680" i="1"/>
  <c r="I680" i="1"/>
  <c r="H680" i="1"/>
  <c r="G680" i="1"/>
  <c r="F680" i="1"/>
  <c r="F695" i="1" s="1"/>
  <c r="E680" i="1"/>
  <c r="D680" i="1"/>
  <c r="C680" i="1"/>
  <c r="C690" i="1" s="1"/>
  <c r="B680" i="1"/>
  <c r="N676" i="1"/>
  <c r="N680" i="1" s="1"/>
  <c r="N669" i="1"/>
  <c r="N668" i="1"/>
  <c r="N667" i="1"/>
  <c r="N666" i="1"/>
  <c r="N665" i="1"/>
  <c r="N664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N652" i="1"/>
  <c r="M649" i="1"/>
  <c r="E649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N645" i="1"/>
  <c r="N644" i="1"/>
  <c r="N643" i="1"/>
  <c r="N642" i="1"/>
  <c r="N646" i="1" s="1"/>
  <c r="M639" i="1"/>
  <c r="K639" i="1"/>
  <c r="K649" i="1" s="1"/>
  <c r="J639" i="1"/>
  <c r="J649" i="1" s="1"/>
  <c r="E639" i="1"/>
  <c r="C639" i="1"/>
  <c r="C649" i="1" s="1"/>
  <c r="B639" i="1"/>
  <c r="B649" i="1" s="1"/>
  <c r="M638" i="1"/>
  <c r="L638" i="1"/>
  <c r="L639" i="1" s="1"/>
  <c r="L649" i="1" s="1"/>
  <c r="L658" i="1" s="1"/>
  <c r="K638" i="1"/>
  <c r="J638" i="1"/>
  <c r="I638" i="1"/>
  <c r="I639" i="1" s="1"/>
  <c r="I649" i="1" s="1"/>
  <c r="I658" i="1" s="1"/>
  <c r="H638" i="1"/>
  <c r="H639" i="1" s="1"/>
  <c r="H649" i="1" s="1"/>
  <c r="G638" i="1"/>
  <c r="G639" i="1" s="1"/>
  <c r="G649" i="1" s="1"/>
  <c r="F638" i="1"/>
  <c r="F639" i="1" s="1"/>
  <c r="F649" i="1" s="1"/>
  <c r="E638" i="1"/>
  <c r="D638" i="1"/>
  <c r="D639" i="1" s="1"/>
  <c r="D649" i="1" s="1"/>
  <c r="D658" i="1" s="1"/>
  <c r="C638" i="1"/>
  <c r="B638" i="1"/>
  <c r="N637" i="1"/>
  <c r="N638" i="1" s="1"/>
  <c r="N639" i="1" s="1"/>
  <c r="M629" i="1"/>
  <c r="M658" i="1" s="1"/>
  <c r="L629" i="1"/>
  <c r="K629" i="1"/>
  <c r="J629" i="1"/>
  <c r="J658" i="1" s="1"/>
  <c r="I629" i="1"/>
  <c r="H629" i="1"/>
  <c r="H658" i="1" s="1"/>
  <c r="G629" i="1"/>
  <c r="F629" i="1"/>
  <c r="F658" i="1" s="1"/>
  <c r="E629" i="1"/>
  <c r="D629" i="1"/>
  <c r="C629" i="1"/>
  <c r="C658" i="1" s="1"/>
  <c r="B629" i="1"/>
  <c r="B658" i="1" s="1"/>
  <c r="N625" i="1"/>
  <c r="N624" i="1"/>
  <c r="N629" i="1" s="1"/>
  <c r="J621" i="1"/>
  <c r="I621" i="1"/>
  <c r="B621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N614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N608" i="1"/>
  <c r="N607" i="1"/>
  <c r="N606" i="1"/>
  <c r="N611" i="1" s="1"/>
  <c r="M603" i="1"/>
  <c r="L603" i="1"/>
  <c r="L621" i="1" s="1"/>
  <c r="L631" i="1" s="1"/>
  <c r="K603" i="1"/>
  <c r="K621" i="1" s="1"/>
  <c r="J603" i="1"/>
  <c r="I603" i="1"/>
  <c r="H603" i="1"/>
  <c r="H621" i="1" s="1"/>
  <c r="G603" i="1"/>
  <c r="F603" i="1"/>
  <c r="F621" i="1" s="1"/>
  <c r="F631" i="1" s="1"/>
  <c r="E603" i="1"/>
  <c r="D603" i="1"/>
  <c r="D621" i="1" s="1"/>
  <c r="D631" i="1" s="1"/>
  <c r="C603" i="1"/>
  <c r="C621" i="1" s="1"/>
  <c r="B603" i="1"/>
  <c r="N600" i="1"/>
  <c r="N599" i="1"/>
  <c r="N598" i="1"/>
  <c r="N603" i="1" s="1"/>
  <c r="N590" i="1"/>
  <c r="N589" i="1"/>
  <c r="L583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N577" i="1"/>
  <c r="N576" i="1"/>
  <c r="N575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N568" i="1"/>
  <c r="N567" i="1"/>
  <c r="N566" i="1"/>
  <c r="N565" i="1"/>
  <c r="N569" i="1" s="1"/>
  <c r="N564" i="1"/>
  <c r="N563" i="1"/>
  <c r="K560" i="1"/>
  <c r="K572" i="1" s="1"/>
  <c r="K583" i="1" s="1"/>
  <c r="I560" i="1"/>
  <c r="I572" i="1" s="1"/>
  <c r="H560" i="1"/>
  <c r="H572" i="1" s="1"/>
  <c r="C560" i="1"/>
  <c r="C572" i="1" s="1"/>
  <c r="C583" i="1" s="1"/>
  <c r="N559" i="1"/>
  <c r="N560" i="1" s="1"/>
  <c r="M559" i="1"/>
  <c r="M560" i="1" s="1"/>
  <c r="M572" i="1" s="1"/>
  <c r="L559" i="1"/>
  <c r="L560" i="1" s="1"/>
  <c r="L572" i="1" s="1"/>
  <c r="K559" i="1"/>
  <c r="J559" i="1"/>
  <c r="J560" i="1" s="1"/>
  <c r="J572" i="1" s="1"/>
  <c r="I559" i="1"/>
  <c r="H559" i="1"/>
  <c r="G559" i="1"/>
  <c r="G560" i="1" s="1"/>
  <c r="G572" i="1" s="1"/>
  <c r="F559" i="1"/>
  <c r="F560" i="1" s="1"/>
  <c r="E559" i="1"/>
  <c r="E560" i="1" s="1"/>
  <c r="E572" i="1" s="1"/>
  <c r="D559" i="1"/>
  <c r="D560" i="1" s="1"/>
  <c r="D572" i="1" s="1"/>
  <c r="D583" i="1" s="1"/>
  <c r="C559" i="1"/>
  <c r="B559" i="1"/>
  <c r="B560" i="1" s="1"/>
  <c r="B572" i="1" s="1"/>
  <c r="N558" i="1"/>
  <c r="N557" i="1"/>
  <c r="M549" i="1"/>
  <c r="L549" i="1"/>
  <c r="K549" i="1"/>
  <c r="J549" i="1"/>
  <c r="I549" i="1"/>
  <c r="H549" i="1"/>
  <c r="G549" i="1"/>
  <c r="G583" i="1" s="1"/>
  <c r="F549" i="1"/>
  <c r="E549" i="1"/>
  <c r="D549" i="1"/>
  <c r="C549" i="1"/>
  <c r="B549" i="1"/>
  <c r="N545" i="1"/>
  <c r="N544" i="1"/>
  <c r="I541" i="1"/>
  <c r="H541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N534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N528" i="1"/>
  <c r="N527" i="1"/>
  <c r="N526" i="1"/>
  <c r="N523" i="1"/>
  <c r="N541" i="1" s="1"/>
  <c r="M523" i="1"/>
  <c r="L523" i="1"/>
  <c r="L541" i="1" s="1"/>
  <c r="K523" i="1"/>
  <c r="K541" i="1" s="1"/>
  <c r="J523" i="1"/>
  <c r="J541" i="1" s="1"/>
  <c r="I523" i="1"/>
  <c r="H523" i="1"/>
  <c r="G523" i="1"/>
  <c r="G541" i="1" s="1"/>
  <c r="G551" i="1" s="1"/>
  <c r="F523" i="1"/>
  <c r="F541" i="1" s="1"/>
  <c r="F551" i="1" s="1"/>
  <c r="E523" i="1"/>
  <c r="D523" i="1"/>
  <c r="D541" i="1" s="1"/>
  <c r="C523" i="1"/>
  <c r="C541" i="1" s="1"/>
  <c r="B523" i="1"/>
  <c r="B541" i="1" s="1"/>
  <c r="N520" i="1"/>
  <c r="B512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N506" i="1"/>
  <c r="N505" i="1"/>
  <c r="N504" i="1"/>
  <c r="N503" i="1"/>
  <c r="N502" i="1"/>
  <c r="N501" i="1"/>
  <c r="N500" i="1"/>
  <c r="N499" i="1"/>
  <c r="N498" i="1"/>
  <c r="N497" i="1"/>
  <c r="F494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N490" i="1"/>
  <c r="N489" i="1"/>
  <c r="N488" i="1"/>
  <c r="N487" i="1"/>
  <c r="N491" i="1" s="1"/>
  <c r="N486" i="1"/>
  <c r="N485" i="1"/>
  <c r="N482" i="1"/>
  <c r="N494" i="1" s="1"/>
  <c r="I482" i="1"/>
  <c r="I494" i="1" s="1"/>
  <c r="H482" i="1"/>
  <c r="H494" i="1" s="1"/>
  <c r="G482" i="1"/>
  <c r="G494" i="1" s="1"/>
  <c r="F482" i="1"/>
  <c r="N481" i="1"/>
  <c r="M481" i="1"/>
  <c r="M482" i="1" s="1"/>
  <c r="M494" i="1" s="1"/>
  <c r="L481" i="1"/>
  <c r="L482" i="1" s="1"/>
  <c r="L494" i="1" s="1"/>
  <c r="K481" i="1"/>
  <c r="K482" i="1" s="1"/>
  <c r="K494" i="1" s="1"/>
  <c r="J481" i="1"/>
  <c r="J482" i="1" s="1"/>
  <c r="J494" i="1" s="1"/>
  <c r="I481" i="1"/>
  <c r="H481" i="1"/>
  <c r="G481" i="1"/>
  <c r="F481" i="1"/>
  <c r="E481" i="1"/>
  <c r="E482" i="1" s="1"/>
  <c r="E494" i="1" s="1"/>
  <c r="E512" i="1" s="1"/>
  <c r="D481" i="1"/>
  <c r="D482" i="1" s="1"/>
  <c r="D494" i="1" s="1"/>
  <c r="C481" i="1"/>
  <c r="C482" i="1" s="1"/>
  <c r="C494" i="1" s="1"/>
  <c r="B481" i="1"/>
  <c r="B482" i="1" s="1"/>
  <c r="B494" i="1" s="1"/>
  <c r="N480" i="1"/>
  <c r="N472" i="1"/>
  <c r="M472" i="1"/>
  <c r="L472" i="1"/>
  <c r="K472" i="1"/>
  <c r="J472" i="1"/>
  <c r="I472" i="1"/>
  <c r="I512" i="1" s="1"/>
  <c r="H472" i="1"/>
  <c r="H512" i="1" s="1"/>
  <c r="G472" i="1"/>
  <c r="G512" i="1" s="1"/>
  <c r="F472" i="1"/>
  <c r="E472" i="1"/>
  <c r="D472" i="1"/>
  <c r="D512" i="1" s="1"/>
  <c r="C472" i="1"/>
  <c r="B472" i="1"/>
  <c r="N468" i="1"/>
  <c r="M465" i="1"/>
  <c r="L465" i="1"/>
  <c r="G465" i="1"/>
  <c r="F465" i="1"/>
  <c r="E465" i="1"/>
  <c r="D465" i="1"/>
  <c r="M461" i="1"/>
  <c r="L461" i="1"/>
  <c r="K461" i="1"/>
  <c r="K465" i="1" s="1"/>
  <c r="J461" i="1"/>
  <c r="J465" i="1" s="1"/>
  <c r="I461" i="1"/>
  <c r="I465" i="1" s="1"/>
  <c r="I514" i="1" s="1"/>
  <c r="H461" i="1"/>
  <c r="H465" i="1" s="1"/>
  <c r="G461" i="1"/>
  <c r="F461" i="1"/>
  <c r="E461" i="1"/>
  <c r="D461" i="1"/>
  <c r="C461" i="1"/>
  <c r="C465" i="1" s="1"/>
  <c r="B461" i="1"/>
  <c r="B465" i="1" s="1"/>
  <c r="N458" i="1"/>
  <c r="N457" i="1"/>
  <c r="N461" i="1" s="1"/>
  <c r="N465" i="1" s="1"/>
  <c r="N449" i="1"/>
  <c r="N448" i="1"/>
  <c r="N447" i="1"/>
  <c r="N446" i="1"/>
  <c r="N445" i="1"/>
  <c r="N444" i="1"/>
  <c r="N438" i="1"/>
  <c r="N437" i="1"/>
  <c r="N436" i="1"/>
  <c r="N435" i="1"/>
  <c r="N434" i="1"/>
  <c r="N433" i="1"/>
  <c r="N432" i="1"/>
  <c r="N431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N399" i="1"/>
  <c r="N398" i="1"/>
  <c r="N397" i="1"/>
  <c r="N396" i="1"/>
  <c r="N395" i="1"/>
  <c r="N394" i="1"/>
  <c r="N400" i="1" s="1"/>
  <c r="K391" i="1"/>
  <c r="K403" i="1" s="1"/>
  <c r="K425" i="1" s="1"/>
  <c r="F391" i="1"/>
  <c r="F403" i="1" s="1"/>
  <c r="C391" i="1"/>
  <c r="C403" i="1" s="1"/>
  <c r="C425" i="1" s="1"/>
  <c r="M390" i="1"/>
  <c r="L390" i="1"/>
  <c r="K390" i="1"/>
  <c r="J390" i="1"/>
  <c r="I390" i="1"/>
  <c r="H390" i="1"/>
  <c r="G390" i="1"/>
  <c r="F390" i="1"/>
  <c r="E390" i="1"/>
  <c r="D390" i="1"/>
  <c r="C390" i="1"/>
  <c r="B390" i="1"/>
  <c r="N389" i="1"/>
  <c r="N388" i="1"/>
  <c r="N387" i="1"/>
  <c r="N386" i="1"/>
  <c r="N390" i="1" s="1"/>
  <c r="M383" i="1"/>
  <c r="M391" i="1" s="1"/>
  <c r="M403" i="1" s="1"/>
  <c r="L383" i="1"/>
  <c r="L391" i="1" s="1"/>
  <c r="L403" i="1" s="1"/>
  <c r="K383" i="1"/>
  <c r="J383" i="1"/>
  <c r="J391" i="1" s="1"/>
  <c r="J403" i="1" s="1"/>
  <c r="I383" i="1"/>
  <c r="I391" i="1" s="1"/>
  <c r="I403" i="1" s="1"/>
  <c r="H383" i="1"/>
  <c r="H391" i="1" s="1"/>
  <c r="H403" i="1" s="1"/>
  <c r="G383" i="1"/>
  <c r="G391" i="1" s="1"/>
  <c r="G403" i="1" s="1"/>
  <c r="F383" i="1"/>
  <c r="E383" i="1"/>
  <c r="E391" i="1" s="1"/>
  <c r="E403" i="1" s="1"/>
  <c r="D383" i="1"/>
  <c r="D391" i="1" s="1"/>
  <c r="D403" i="1" s="1"/>
  <c r="C383" i="1"/>
  <c r="B383" i="1"/>
  <c r="B391" i="1" s="1"/>
  <c r="B403" i="1" s="1"/>
  <c r="N382" i="1"/>
  <c r="N381" i="1"/>
  <c r="N380" i="1"/>
  <c r="I374" i="1"/>
  <c r="N372" i="1"/>
  <c r="M372" i="1"/>
  <c r="M425" i="1" s="1"/>
  <c r="L372" i="1"/>
  <c r="L425" i="1" s="1"/>
  <c r="K372" i="1"/>
  <c r="J372" i="1"/>
  <c r="J425" i="1" s="1"/>
  <c r="I372" i="1"/>
  <c r="H372" i="1"/>
  <c r="G372" i="1"/>
  <c r="G425" i="1" s="1"/>
  <c r="F372" i="1"/>
  <c r="E372" i="1"/>
  <c r="E425" i="1" s="1"/>
  <c r="D372" i="1"/>
  <c r="D425" i="1" s="1"/>
  <c r="C372" i="1"/>
  <c r="B372" i="1"/>
  <c r="B425" i="1" s="1"/>
  <c r="N368" i="1"/>
  <c r="N367" i="1"/>
  <c r="M364" i="1"/>
  <c r="H364" i="1"/>
  <c r="H374" i="1" s="1"/>
  <c r="E364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N357" i="1"/>
  <c r="N356" i="1"/>
  <c r="N355" i="1"/>
  <c r="N360" i="1" s="1"/>
  <c r="M352" i="1"/>
  <c r="L352" i="1"/>
  <c r="L364" i="1" s="1"/>
  <c r="K352" i="1"/>
  <c r="K364" i="1" s="1"/>
  <c r="J352" i="1"/>
  <c r="J364" i="1" s="1"/>
  <c r="J18" i="1" s="1"/>
  <c r="I352" i="1"/>
  <c r="I364" i="1" s="1"/>
  <c r="H352" i="1"/>
  <c r="G352" i="1"/>
  <c r="G364" i="1" s="1"/>
  <c r="F352" i="1"/>
  <c r="F364" i="1" s="1"/>
  <c r="F374" i="1" s="1"/>
  <c r="E352" i="1"/>
  <c r="D352" i="1"/>
  <c r="D364" i="1" s="1"/>
  <c r="C352" i="1"/>
  <c r="C364" i="1" s="1"/>
  <c r="B352" i="1"/>
  <c r="B364" i="1" s="1"/>
  <c r="B18" i="1" s="1"/>
  <c r="N349" i="1"/>
  <c r="N348" i="1"/>
  <c r="N347" i="1"/>
  <c r="N346" i="1"/>
  <c r="N352" i="1" s="1"/>
  <c r="N364" i="1" s="1"/>
  <c r="N374" i="1" s="1"/>
  <c r="M335" i="1"/>
  <c r="L335" i="1"/>
  <c r="K335" i="1"/>
  <c r="J335" i="1"/>
  <c r="I335" i="1"/>
  <c r="H335" i="1"/>
  <c r="G335" i="1"/>
  <c r="F335" i="1"/>
  <c r="E335" i="1"/>
  <c r="D335" i="1"/>
  <c r="C335" i="1"/>
  <c r="B335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I315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N311" i="1"/>
  <c r="N310" i="1"/>
  <c r="N309" i="1"/>
  <c r="N308" i="1"/>
  <c r="N312" i="1" s="1"/>
  <c r="N307" i="1"/>
  <c r="N306" i="1"/>
  <c r="L303" i="1"/>
  <c r="L315" i="1" s="1"/>
  <c r="I303" i="1"/>
  <c r="D303" i="1"/>
  <c r="D315" i="1" s="1"/>
  <c r="M302" i="1"/>
  <c r="L302" i="1"/>
  <c r="K302" i="1"/>
  <c r="J302" i="1"/>
  <c r="I302" i="1"/>
  <c r="H302" i="1"/>
  <c r="G302" i="1"/>
  <c r="F302" i="1"/>
  <c r="E302" i="1"/>
  <c r="D302" i="1"/>
  <c r="C302" i="1"/>
  <c r="B302" i="1"/>
  <c r="N301" i="1"/>
  <c r="N300" i="1"/>
  <c r="N299" i="1"/>
  <c r="N298" i="1"/>
  <c r="N302" i="1" s="1"/>
  <c r="M295" i="1"/>
  <c r="M303" i="1" s="1"/>
  <c r="M315" i="1" s="1"/>
  <c r="L295" i="1"/>
  <c r="K295" i="1"/>
  <c r="K303" i="1" s="1"/>
  <c r="K315" i="1" s="1"/>
  <c r="K338" i="1" s="1"/>
  <c r="J295" i="1"/>
  <c r="J303" i="1" s="1"/>
  <c r="J315" i="1" s="1"/>
  <c r="I295" i="1"/>
  <c r="H295" i="1"/>
  <c r="H303" i="1" s="1"/>
  <c r="H315" i="1" s="1"/>
  <c r="H338" i="1" s="1"/>
  <c r="G295" i="1"/>
  <c r="G303" i="1" s="1"/>
  <c r="G315" i="1" s="1"/>
  <c r="F295" i="1"/>
  <c r="F303" i="1" s="1"/>
  <c r="F315" i="1" s="1"/>
  <c r="E295" i="1"/>
  <c r="E303" i="1" s="1"/>
  <c r="E315" i="1" s="1"/>
  <c r="D295" i="1"/>
  <c r="C295" i="1"/>
  <c r="C303" i="1" s="1"/>
  <c r="C315" i="1" s="1"/>
  <c r="C338" i="1" s="1"/>
  <c r="B295" i="1"/>
  <c r="B303" i="1" s="1"/>
  <c r="B315" i="1" s="1"/>
  <c r="N294" i="1"/>
  <c r="N295" i="1" s="1"/>
  <c r="M288" i="1"/>
  <c r="E288" i="1"/>
  <c r="M286" i="1"/>
  <c r="L286" i="1"/>
  <c r="L338" i="1" s="1"/>
  <c r="K286" i="1"/>
  <c r="J286" i="1"/>
  <c r="J338" i="1" s="1"/>
  <c r="I286" i="1"/>
  <c r="H286" i="1"/>
  <c r="G286" i="1"/>
  <c r="G338" i="1" s="1"/>
  <c r="F286" i="1"/>
  <c r="F338" i="1" s="1"/>
  <c r="E286" i="1"/>
  <c r="D286" i="1"/>
  <c r="D338" i="1" s="1"/>
  <c r="D27" i="1" s="1"/>
  <c r="C286" i="1"/>
  <c r="B286" i="1"/>
  <c r="B338" i="1" s="1"/>
  <c r="N282" i="1"/>
  <c r="N281" i="1"/>
  <c r="N280" i="1"/>
  <c r="N279" i="1"/>
  <c r="N286" i="1" s="1"/>
  <c r="F276" i="1"/>
  <c r="M272" i="1"/>
  <c r="L272" i="1"/>
  <c r="K272" i="1"/>
  <c r="K276" i="1" s="1"/>
  <c r="J272" i="1"/>
  <c r="I272" i="1"/>
  <c r="H272" i="1"/>
  <c r="G272" i="1"/>
  <c r="F272" i="1"/>
  <c r="E272" i="1"/>
  <c r="D272" i="1"/>
  <c r="C272" i="1"/>
  <c r="C276" i="1" s="1"/>
  <c r="B272" i="1"/>
  <c r="N269" i="1"/>
  <c r="N268" i="1"/>
  <c r="N267" i="1"/>
  <c r="N266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N260" i="1"/>
  <c r="N259" i="1"/>
  <c r="N258" i="1"/>
  <c r="N263" i="1" s="1"/>
  <c r="M255" i="1"/>
  <c r="M276" i="1" s="1"/>
  <c r="L255" i="1"/>
  <c r="L276" i="1" s="1"/>
  <c r="K255" i="1"/>
  <c r="J255" i="1"/>
  <c r="J276" i="1" s="1"/>
  <c r="I255" i="1"/>
  <c r="I276" i="1" s="1"/>
  <c r="I18" i="1" s="1"/>
  <c r="H255" i="1"/>
  <c r="H276" i="1" s="1"/>
  <c r="G255" i="1"/>
  <c r="G276" i="1" s="1"/>
  <c r="F255" i="1"/>
  <c r="E255" i="1"/>
  <c r="E276" i="1" s="1"/>
  <c r="D255" i="1"/>
  <c r="D276" i="1" s="1"/>
  <c r="C255" i="1"/>
  <c r="B255" i="1"/>
  <c r="B276" i="1" s="1"/>
  <c r="N252" i="1"/>
  <c r="N251" i="1"/>
  <c r="N250" i="1"/>
  <c r="N249" i="1"/>
  <c r="N248" i="1"/>
  <c r="N216" i="1"/>
  <c r="N215" i="1"/>
  <c r="N214" i="1"/>
  <c r="N213" i="1"/>
  <c r="N212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M185" i="1"/>
  <c r="L185" i="1"/>
  <c r="K185" i="1"/>
  <c r="J185" i="1"/>
  <c r="I185" i="1"/>
  <c r="H185" i="1"/>
  <c r="G185" i="1"/>
  <c r="F185" i="1"/>
  <c r="F188" i="1" s="1"/>
  <c r="E185" i="1"/>
  <c r="D185" i="1"/>
  <c r="C185" i="1"/>
  <c r="B185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85" i="1" s="1"/>
  <c r="N159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N152" i="1"/>
  <c r="N151" i="1"/>
  <c r="N150" i="1"/>
  <c r="N149" i="1"/>
  <c r="N148" i="1"/>
  <c r="N147" i="1"/>
  <c r="H144" i="1"/>
  <c r="H156" i="1" s="1"/>
  <c r="H188" i="1" s="1"/>
  <c r="M143" i="1"/>
  <c r="L143" i="1"/>
  <c r="K143" i="1"/>
  <c r="J143" i="1"/>
  <c r="I143" i="1"/>
  <c r="H143" i="1"/>
  <c r="G143" i="1"/>
  <c r="F143" i="1"/>
  <c r="E143" i="1"/>
  <c r="D143" i="1"/>
  <c r="C143" i="1"/>
  <c r="B143" i="1"/>
  <c r="N142" i="1"/>
  <c r="N141" i="1"/>
  <c r="N140" i="1"/>
  <c r="N139" i="1"/>
  <c r="N138" i="1"/>
  <c r="N137" i="1"/>
  <c r="N136" i="1"/>
  <c r="N135" i="1"/>
  <c r="N134" i="1"/>
  <c r="M131" i="1"/>
  <c r="M144" i="1" s="1"/>
  <c r="M156" i="1" s="1"/>
  <c r="M188" i="1" s="1"/>
  <c r="L131" i="1"/>
  <c r="L144" i="1" s="1"/>
  <c r="L156" i="1" s="1"/>
  <c r="L188" i="1" s="1"/>
  <c r="K131" i="1"/>
  <c r="K144" i="1" s="1"/>
  <c r="K156" i="1" s="1"/>
  <c r="K188" i="1" s="1"/>
  <c r="J131" i="1"/>
  <c r="J144" i="1" s="1"/>
  <c r="J156" i="1" s="1"/>
  <c r="J188" i="1" s="1"/>
  <c r="I131" i="1"/>
  <c r="I144" i="1" s="1"/>
  <c r="I156" i="1" s="1"/>
  <c r="I188" i="1" s="1"/>
  <c r="H131" i="1"/>
  <c r="G131" i="1"/>
  <c r="G144" i="1" s="1"/>
  <c r="G156" i="1" s="1"/>
  <c r="G188" i="1" s="1"/>
  <c r="F131" i="1"/>
  <c r="F144" i="1" s="1"/>
  <c r="F156" i="1" s="1"/>
  <c r="E131" i="1"/>
  <c r="E144" i="1" s="1"/>
  <c r="E156" i="1" s="1"/>
  <c r="E188" i="1" s="1"/>
  <c r="E26" i="1" s="1"/>
  <c r="D131" i="1"/>
  <c r="D144" i="1" s="1"/>
  <c r="D156" i="1" s="1"/>
  <c r="D188" i="1" s="1"/>
  <c r="C131" i="1"/>
  <c r="C144" i="1" s="1"/>
  <c r="C156" i="1" s="1"/>
  <c r="C188" i="1" s="1"/>
  <c r="B131" i="1"/>
  <c r="B144" i="1" s="1"/>
  <c r="B156" i="1" s="1"/>
  <c r="B188" i="1" s="1"/>
  <c r="N130" i="1"/>
  <c r="N129" i="1"/>
  <c r="N128" i="1"/>
  <c r="N127" i="1"/>
  <c r="N131" i="1" s="1"/>
  <c r="N126" i="1"/>
  <c r="H121" i="1"/>
  <c r="M117" i="1"/>
  <c r="M121" i="1" s="1"/>
  <c r="L117" i="1"/>
  <c r="K117" i="1"/>
  <c r="J117" i="1"/>
  <c r="I117" i="1"/>
  <c r="H117" i="1"/>
  <c r="G117" i="1"/>
  <c r="F117" i="1"/>
  <c r="E117" i="1"/>
  <c r="E121" i="1" s="1"/>
  <c r="D117" i="1"/>
  <c r="C117" i="1"/>
  <c r="B117" i="1"/>
  <c r="N114" i="1"/>
  <c r="N113" i="1"/>
  <c r="N112" i="1"/>
  <c r="N111" i="1"/>
  <c r="N117" i="1" s="1"/>
  <c r="M108" i="1"/>
  <c r="L108" i="1"/>
  <c r="K108" i="1"/>
  <c r="J108" i="1"/>
  <c r="I108" i="1"/>
  <c r="H108" i="1"/>
  <c r="G108" i="1"/>
  <c r="F108" i="1"/>
  <c r="E108" i="1"/>
  <c r="D108" i="1"/>
  <c r="C108" i="1"/>
  <c r="B108" i="1"/>
  <c r="N105" i="1"/>
  <c r="N104" i="1"/>
  <c r="N103" i="1"/>
  <c r="N102" i="1"/>
  <c r="N108" i="1" s="1"/>
  <c r="M99" i="1"/>
  <c r="L99" i="1"/>
  <c r="L121" i="1" s="1"/>
  <c r="L750" i="1" s="1"/>
  <c r="K99" i="1"/>
  <c r="K121" i="1" s="1"/>
  <c r="J99" i="1"/>
  <c r="J121" i="1" s="1"/>
  <c r="I99" i="1"/>
  <c r="I121" i="1" s="1"/>
  <c r="H99" i="1"/>
  <c r="G99" i="1"/>
  <c r="G121" i="1" s="1"/>
  <c r="F99" i="1"/>
  <c r="F121" i="1" s="1"/>
  <c r="E99" i="1"/>
  <c r="D99" i="1"/>
  <c r="D121" i="1" s="1"/>
  <c r="D750" i="1" s="1"/>
  <c r="C99" i="1"/>
  <c r="C121" i="1" s="1"/>
  <c r="B99" i="1"/>
  <c r="B121" i="1" s="1"/>
  <c r="N96" i="1"/>
  <c r="N95" i="1"/>
  <c r="N94" i="1"/>
  <c r="N93" i="1"/>
  <c r="N92" i="1"/>
  <c r="N91" i="1"/>
  <c r="N90" i="1"/>
  <c r="M82" i="1"/>
  <c r="L82" i="1"/>
  <c r="K82" i="1"/>
  <c r="J82" i="1"/>
  <c r="I82" i="1"/>
  <c r="H82" i="1"/>
  <c r="G82" i="1"/>
  <c r="E82" i="1"/>
  <c r="C82" i="1"/>
  <c r="B82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F70" i="1"/>
  <c r="C70" i="1"/>
  <c r="M67" i="1"/>
  <c r="L67" i="1"/>
  <c r="K67" i="1"/>
  <c r="K70" i="1" s="1"/>
  <c r="J67" i="1"/>
  <c r="I67" i="1"/>
  <c r="H67" i="1"/>
  <c r="G67" i="1"/>
  <c r="F67" i="1"/>
  <c r="E67" i="1"/>
  <c r="D67" i="1"/>
  <c r="C67" i="1"/>
  <c r="B67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N65" i="1"/>
  <c r="M65" i="1"/>
  <c r="M70" i="1" s="1"/>
  <c r="L65" i="1"/>
  <c r="L70" i="1" s="1"/>
  <c r="K65" i="1"/>
  <c r="J65" i="1"/>
  <c r="J70" i="1" s="1"/>
  <c r="I65" i="1"/>
  <c r="I70" i="1" s="1"/>
  <c r="H65" i="1"/>
  <c r="H70" i="1" s="1"/>
  <c r="G65" i="1"/>
  <c r="G70" i="1" s="1"/>
  <c r="F65" i="1"/>
  <c r="E65" i="1"/>
  <c r="E70" i="1" s="1"/>
  <c r="D65" i="1"/>
  <c r="D70" i="1" s="1"/>
  <c r="C65" i="1"/>
  <c r="B65" i="1"/>
  <c r="B70" i="1" s="1"/>
  <c r="G60" i="1"/>
  <c r="D60" i="1"/>
  <c r="N58" i="1"/>
  <c r="M58" i="1"/>
  <c r="L58" i="1"/>
  <c r="L60" i="1" s="1"/>
  <c r="K58" i="1"/>
  <c r="J58" i="1"/>
  <c r="I58" i="1"/>
  <c r="H58" i="1"/>
  <c r="F58" i="1"/>
  <c r="E58" i="1"/>
  <c r="D58" i="1"/>
  <c r="C58" i="1"/>
  <c r="N57" i="1"/>
  <c r="N60" i="1" s="1"/>
  <c r="M57" i="1"/>
  <c r="M60" i="1" s="1"/>
  <c r="K57" i="1"/>
  <c r="K60" i="1" s="1"/>
  <c r="J57" i="1"/>
  <c r="J60" i="1" s="1"/>
  <c r="I57" i="1"/>
  <c r="I60" i="1" s="1"/>
  <c r="H57" i="1"/>
  <c r="H60" i="1" s="1"/>
  <c r="G57" i="1"/>
  <c r="F57" i="1"/>
  <c r="F60" i="1" s="1"/>
  <c r="E57" i="1"/>
  <c r="E60" i="1" s="1"/>
  <c r="C57" i="1"/>
  <c r="C60" i="1" s="1"/>
  <c r="B57" i="1"/>
  <c r="B60" i="1" s="1"/>
  <c r="M47" i="1"/>
  <c r="L47" i="1"/>
  <c r="K47" i="1"/>
  <c r="J47" i="1"/>
  <c r="I47" i="1"/>
  <c r="H47" i="1"/>
  <c r="G47" i="1"/>
  <c r="F47" i="1"/>
  <c r="E47" i="1"/>
  <c r="D47" i="1"/>
  <c r="B47" i="1"/>
  <c r="I46" i="1"/>
  <c r="F46" i="1"/>
  <c r="B46" i="1"/>
  <c r="M45" i="1"/>
  <c r="L45" i="1"/>
  <c r="K45" i="1"/>
  <c r="J45" i="1"/>
  <c r="H45" i="1"/>
  <c r="G45" i="1"/>
  <c r="F45" i="1"/>
  <c r="E45" i="1"/>
  <c r="D45" i="1"/>
  <c r="C45" i="1"/>
  <c r="B45" i="1"/>
  <c r="M44" i="1"/>
  <c r="L44" i="1"/>
  <c r="K44" i="1"/>
  <c r="D44" i="1"/>
  <c r="C44" i="1"/>
  <c r="K43" i="1"/>
  <c r="I43" i="1"/>
  <c r="H43" i="1"/>
  <c r="G43" i="1"/>
  <c r="E43" i="1"/>
  <c r="C43" i="1"/>
  <c r="M42" i="1"/>
  <c r="L42" i="1"/>
  <c r="K42" i="1"/>
  <c r="K50" i="1" s="1"/>
  <c r="I42" i="1"/>
  <c r="H42" i="1"/>
  <c r="H50" i="1" s="1"/>
  <c r="G42" i="1"/>
  <c r="E42" i="1"/>
  <c r="D42" i="1"/>
  <c r="N36" i="1"/>
  <c r="I35" i="1"/>
  <c r="F35" i="1"/>
  <c r="M28" i="1"/>
  <c r="L28" i="1"/>
  <c r="K28" i="1"/>
  <c r="J28" i="1"/>
  <c r="J35" i="1" s="1"/>
  <c r="I28" i="1"/>
  <c r="H28" i="1"/>
  <c r="G28" i="1"/>
  <c r="F28" i="1"/>
  <c r="E28" i="1"/>
  <c r="D28" i="1"/>
  <c r="C28" i="1"/>
  <c r="B28" i="1"/>
  <c r="B35" i="1" s="1"/>
  <c r="L26" i="1"/>
  <c r="J26" i="1"/>
  <c r="G26" i="1"/>
  <c r="D26" i="1"/>
  <c r="D31" i="1" s="1"/>
  <c r="B26" i="1"/>
  <c r="L23" i="1"/>
  <c r="D23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M19" i="1"/>
  <c r="M35" i="1" s="1"/>
  <c r="L19" i="1"/>
  <c r="L35" i="1" s="1"/>
  <c r="K19" i="1"/>
  <c r="K35" i="1" s="1"/>
  <c r="J19" i="1"/>
  <c r="I19" i="1"/>
  <c r="H19" i="1"/>
  <c r="H35" i="1" s="1"/>
  <c r="G19" i="1"/>
  <c r="G35" i="1" s="1"/>
  <c r="F19" i="1"/>
  <c r="E19" i="1"/>
  <c r="E35" i="1" s="1"/>
  <c r="D19" i="1"/>
  <c r="D35" i="1" s="1"/>
  <c r="C19" i="1"/>
  <c r="C35" i="1" s="1"/>
  <c r="B19" i="1"/>
  <c r="L18" i="1"/>
  <c r="H18" i="1"/>
  <c r="D18" i="1"/>
  <c r="D34" i="1" s="1"/>
  <c r="L17" i="1"/>
  <c r="K17" i="1"/>
  <c r="I17" i="1"/>
  <c r="H17" i="1"/>
  <c r="H23" i="1" s="1"/>
  <c r="G17" i="1"/>
  <c r="G33" i="1" s="1"/>
  <c r="F17" i="1"/>
  <c r="D17" i="1"/>
  <c r="C17" i="1"/>
  <c r="M12" i="1"/>
  <c r="J12" i="1"/>
  <c r="F12" i="1"/>
  <c r="E12" i="1"/>
  <c r="B12" i="1"/>
  <c r="M11" i="1"/>
  <c r="L11" i="1"/>
  <c r="K11" i="1"/>
  <c r="K12" i="1" s="1"/>
  <c r="J11" i="1"/>
  <c r="I11" i="1"/>
  <c r="H11" i="1"/>
  <c r="G11" i="1"/>
  <c r="F11" i="1"/>
  <c r="E11" i="1"/>
  <c r="D11" i="1"/>
  <c r="C11" i="1"/>
  <c r="C12" i="1" s="1"/>
  <c r="B11" i="1"/>
  <c r="M10" i="1"/>
  <c r="L10" i="1"/>
  <c r="L12" i="1" s="1"/>
  <c r="K10" i="1"/>
  <c r="J10" i="1"/>
  <c r="I10" i="1"/>
  <c r="I12" i="1" s="1"/>
  <c r="H10" i="1"/>
  <c r="H12" i="1" s="1"/>
  <c r="G10" i="1"/>
  <c r="G12" i="1" s="1"/>
  <c r="F10" i="1"/>
  <c r="E10" i="1"/>
  <c r="D10" i="1"/>
  <c r="D12" i="1" s="1"/>
  <c r="C10" i="1"/>
  <c r="B10" i="1"/>
  <c r="C23" i="1" l="1"/>
  <c r="N512" i="1"/>
  <c r="I26" i="1"/>
  <c r="I190" i="1"/>
  <c r="N35" i="1"/>
  <c r="F26" i="1"/>
  <c r="F33" i="1" s="1"/>
  <c r="E190" i="1"/>
  <c r="E17" i="1"/>
  <c r="M190" i="1"/>
  <c r="M17" i="1"/>
  <c r="C1002" i="1"/>
  <c r="C26" i="1"/>
  <c r="K26" i="1"/>
  <c r="H26" i="1"/>
  <c r="I23" i="1"/>
  <c r="K27" i="1"/>
  <c r="C288" i="1"/>
  <c r="C340" i="1"/>
  <c r="C18" i="1"/>
  <c r="K288" i="1"/>
  <c r="K340" i="1"/>
  <c r="K18" i="1"/>
  <c r="B34" i="1"/>
  <c r="M26" i="1"/>
  <c r="N99" i="1"/>
  <c r="N121" i="1" s="1"/>
  <c r="C750" i="1"/>
  <c r="C190" i="1"/>
  <c r="K750" i="1"/>
  <c r="K190" i="1"/>
  <c r="L190" i="1"/>
  <c r="G340" i="1"/>
  <c r="G288" i="1"/>
  <c r="E338" i="1"/>
  <c r="M338" i="1"/>
  <c r="N335" i="1"/>
  <c r="H425" i="1"/>
  <c r="H27" i="1" s="1"/>
  <c r="H34" i="1" s="1"/>
  <c r="N383" i="1"/>
  <c r="N391" i="1" s="1"/>
  <c r="N403" i="1" s="1"/>
  <c r="D474" i="1"/>
  <c r="D514" i="1"/>
  <c r="C512" i="1"/>
  <c r="C27" i="1" s="1"/>
  <c r="G1002" i="1"/>
  <c r="N143" i="1"/>
  <c r="N144" i="1" s="1"/>
  <c r="N156" i="1" s="1"/>
  <c r="N188" i="1" s="1"/>
  <c r="N153" i="1"/>
  <c r="N208" i="1"/>
  <c r="H340" i="1"/>
  <c r="H288" i="1"/>
  <c r="I425" i="1"/>
  <c r="I427" i="1" s="1"/>
  <c r="K658" i="1"/>
  <c r="J750" i="1"/>
  <c r="J190" i="1"/>
  <c r="I288" i="1"/>
  <c r="B427" i="1"/>
  <c r="B374" i="1"/>
  <c r="J427" i="1"/>
  <c r="J374" i="1"/>
  <c r="N514" i="1"/>
  <c r="N474" i="1"/>
  <c r="H514" i="1"/>
  <c r="H474" i="1"/>
  <c r="B750" i="1"/>
  <c r="B190" i="1"/>
  <c r="M427" i="1"/>
  <c r="M374" i="1"/>
  <c r="D33" i="1"/>
  <c r="D39" i="1" s="1"/>
  <c r="L33" i="1"/>
  <c r="G50" i="1"/>
  <c r="F750" i="1"/>
  <c r="F190" i="1"/>
  <c r="B340" i="1"/>
  <c r="B288" i="1"/>
  <c r="J340" i="1"/>
  <c r="J288" i="1"/>
  <c r="N303" i="1"/>
  <c r="N315" i="1" s="1"/>
  <c r="N338" i="1" s="1"/>
  <c r="N27" i="1" s="1"/>
  <c r="C427" i="1"/>
  <c r="C374" i="1"/>
  <c r="K427" i="1"/>
  <c r="K374" i="1"/>
  <c r="F512" i="1"/>
  <c r="F340" i="1"/>
  <c r="F288" i="1"/>
  <c r="B17" i="1"/>
  <c r="J17" i="1"/>
  <c r="F23" i="1"/>
  <c r="G190" i="1"/>
  <c r="I338" i="1"/>
  <c r="I340" i="1" s="1"/>
  <c r="D427" i="1"/>
  <c r="D374" i="1"/>
  <c r="L427" i="1"/>
  <c r="L374" i="1"/>
  <c r="B514" i="1"/>
  <c r="B474" i="1"/>
  <c r="J474" i="1"/>
  <c r="L474" i="1"/>
  <c r="I474" i="1"/>
  <c r="N509" i="1"/>
  <c r="F18" i="1"/>
  <c r="I50" i="1"/>
  <c r="H750" i="1"/>
  <c r="H190" i="1"/>
  <c r="D288" i="1"/>
  <c r="D340" i="1"/>
  <c r="L288" i="1"/>
  <c r="L340" i="1"/>
  <c r="E427" i="1"/>
  <c r="E374" i="1"/>
  <c r="C514" i="1"/>
  <c r="C474" i="1"/>
  <c r="K474" i="1"/>
  <c r="H695" i="1"/>
  <c r="H690" i="1"/>
  <c r="E981" i="1"/>
  <c r="E983" i="1" s="1"/>
  <c r="E46" i="1" s="1"/>
  <c r="E50" i="1" s="1"/>
  <c r="M981" i="1"/>
  <c r="M983" i="1" s="1"/>
  <c r="M46" i="1" s="1"/>
  <c r="E1002" i="1"/>
  <c r="G374" i="1"/>
  <c r="G427" i="1"/>
  <c r="G18" i="1"/>
  <c r="G34" i="1" s="1"/>
  <c r="G39" i="1" s="1"/>
  <c r="G52" i="1" s="1"/>
  <c r="G62" i="1" s="1"/>
  <c r="I750" i="1"/>
  <c r="D190" i="1"/>
  <c r="N255" i="1"/>
  <c r="E340" i="1"/>
  <c r="M340" i="1"/>
  <c r="N272" i="1"/>
  <c r="F425" i="1"/>
  <c r="N422" i="1"/>
  <c r="N425" i="1" s="1"/>
  <c r="N427" i="1" s="1"/>
  <c r="C551" i="1"/>
  <c r="C585" i="1"/>
  <c r="K551" i="1"/>
  <c r="K585" i="1"/>
  <c r="E514" i="1"/>
  <c r="D585" i="1"/>
  <c r="L585" i="1"/>
  <c r="E583" i="1"/>
  <c r="M583" i="1"/>
  <c r="L660" i="1"/>
  <c r="N695" i="1"/>
  <c r="I695" i="1"/>
  <c r="I690" i="1"/>
  <c r="N779" i="1"/>
  <c r="N782" i="1" s="1"/>
  <c r="N802" i="1"/>
  <c r="N942" i="1"/>
  <c r="H427" i="1"/>
  <c r="F514" i="1"/>
  <c r="E541" i="1"/>
  <c r="E750" i="1" s="1"/>
  <c r="E1006" i="1" s="1"/>
  <c r="E1105" i="1" s="1"/>
  <c r="M541" i="1"/>
  <c r="M750" i="1" s="1"/>
  <c r="H551" i="1"/>
  <c r="H585" i="1"/>
  <c r="F583" i="1"/>
  <c r="F585" i="1" s="1"/>
  <c r="D551" i="1"/>
  <c r="G585" i="1"/>
  <c r="C660" i="1"/>
  <c r="C631" i="1"/>
  <c r="K660" i="1"/>
  <c r="K631" i="1"/>
  <c r="B660" i="1"/>
  <c r="B631" i="1"/>
  <c r="E658" i="1"/>
  <c r="B690" i="1"/>
  <c r="J690" i="1"/>
  <c r="N939" i="1"/>
  <c r="N1066" i="1"/>
  <c r="N1068" i="1" s="1"/>
  <c r="N67" i="1" s="1"/>
  <c r="N70" i="1" s="1"/>
  <c r="N1101" i="1"/>
  <c r="N1103" i="1" s="1"/>
  <c r="N82" i="1" s="1"/>
  <c r="G514" i="1"/>
  <c r="I551" i="1"/>
  <c r="I660" i="1"/>
  <c r="I631" i="1"/>
  <c r="B806" i="1"/>
  <c r="B808" i="1" s="1"/>
  <c r="B42" i="1" s="1"/>
  <c r="B50" i="1" s="1"/>
  <c r="J512" i="1"/>
  <c r="J27" i="1" s="1"/>
  <c r="J34" i="1" s="1"/>
  <c r="E474" i="1"/>
  <c r="M474" i="1"/>
  <c r="N549" i="1"/>
  <c r="N583" i="1" s="1"/>
  <c r="N585" i="1" s="1"/>
  <c r="H583" i="1"/>
  <c r="H1002" i="1" s="1"/>
  <c r="L551" i="1"/>
  <c r="F572" i="1"/>
  <c r="N572" i="1"/>
  <c r="E621" i="1"/>
  <c r="M621" i="1"/>
  <c r="M18" i="1" s="1"/>
  <c r="J660" i="1"/>
  <c r="J631" i="1"/>
  <c r="G658" i="1"/>
  <c r="G27" i="1" s="1"/>
  <c r="G31" i="1" s="1"/>
  <c r="D695" i="1"/>
  <c r="L695" i="1"/>
  <c r="C782" i="1"/>
  <c r="C806" i="1" s="1"/>
  <c r="C808" i="1" s="1"/>
  <c r="C42" i="1" s="1"/>
  <c r="C50" i="1" s="1"/>
  <c r="M838" i="1"/>
  <c r="M849" i="1" s="1"/>
  <c r="M43" i="1" s="1"/>
  <c r="M50" i="1" s="1"/>
  <c r="K512" i="1"/>
  <c r="K1002" i="1" s="1"/>
  <c r="F474" i="1"/>
  <c r="I583" i="1"/>
  <c r="I585" i="1" s="1"/>
  <c r="F660" i="1"/>
  <c r="N847" i="1"/>
  <c r="N849" i="1" s="1"/>
  <c r="N43" i="1" s="1"/>
  <c r="L512" i="1"/>
  <c r="L1002" i="1" s="1"/>
  <c r="L1006" i="1" s="1"/>
  <c r="L1105" i="1" s="1"/>
  <c r="G474" i="1"/>
  <c r="B583" i="1"/>
  <c r="B27" i="1" s="1"/>
  <c r="B31" i="1" s="1"/>
  <c r="J583" i="1"/>
  <c r="N580" i="1"/>
  <c r="N621" i="1"/>
  <c r="G621" i="1"/>
  <c r="N688" i="1"/>
  <c r="N693" i="1" s="1"/>
  <c r="N716" i="1"/>
  <c r="N745" i="1"/>
  <c r="N20" i="1" s="1"/>
  <c r="F878" i="1"/>
  <c r="F898" i="1" s="1"/>
  <c r="F900" i="1" s="1"/>
  <c r="F44" i="1" s="1"/>
  <c r="F50" i="1" s="1"/>
  <c r="N865" i="1"/>
  <c r="N878" i="1" s="1"/>
  <c r="M512" i="1"/>
  <c r="M514" i="1" s="1"/>
  <c r="B551" i="1"/>
  <c r="J551" i="1"/>
  <c r="J585" i="1"/>
  <c r="H660" i="1"/>
  <c r="H631" i="1"/>
  <c r="N649" i="1"/>
  <c r="N658" i="1" s="1"/>
  <c r="D660" i="1"/>
  <c r="G695" i="1"/>
  <c r="J782" i="1"/>
  <c r="J806" i="1" s="1"/>
  <c r="J808" i="1" s="1"/>
  <c r="J42" i="1" s="1"/>
  <c r="J50" i="1" s="1"/>
  <c r="F838" i="1"/>
  <c r="F849" i="1" s="1"/>
  <c r="F43" i="1" s="1"/>
  <c r="D838" i="1"/>
  <c r="D849" i="1" s="1"/>
  <c r="D43" i="1" s="1"/>
  <c r="D50" i="1" s="1"/>
  <c r="N894" i="1"/>
  <c r="D942" i="1"/>
  <c r="D981" i="1" s="1"/>
  <c r="D983" i="1" s="1"/>
  <c r="D46" i="1" s="1"/>
  <c r="L942" i="1"/>
  <c r="L981" i="1" s="1"/>
  <c r="L983" i="1" s="1"/>
  <c r="L46" i="1" s="1"/>
  <c r="L50" i="1" s="1"/>
  <c r="N977" i="1"/>
  <c r="N996" i="1"/>
  <c r="N998" i="1" s="1"/>
  <c r="N47" i="1" s="1"/>
  <c r="F690" i="1"/>
  <c r="N721" i="1"/>
  <c r="N728" i="1" s="1"/>
  <c r="G74" i="1" l="1"/>
  <c r="G76" i="1"/>
  <c r="G80" i="1" s="1"/>
  <c r="G84" i="1" s="1"/>
  <c r="N1002" i="1"/>
  <c r="N26" i="1"/>
  <c r="B1006" i="1"/>
  <c r="B1105" i="1" s="1"/>
  <c r="N898" i="1"/>
  <c r="N900" i="1" s="1"/>
  <c r="N44" i="1" s="1"/>
  <c r="K514" i="1"/>
  <c r="M27" i="1"/>
  <c r="M34" i="1" s="1"/>
  <c r="C1006" i="1"/>
  <c r="C1105" i="1" s="1"/>
  <c r="K34" i="1"/>
  <c r="M33" i="1"/>
  <c r="M23" i="1"/>
  <c r="F1002" i="1"/>
  <c r="F1006" i="1" s="1"/>
  <c r="F1105" i="1" s="1"/>
  <c r="I1002" i="1"/>
  <c r="I1006" i="1" s="1"/>
  <c r="I1105" i="1" s="1"/>
  <c r="M631" i="1"/>
  <c r="M660" i="1"/>
  <c r="N551" i="1"/>
  <c r="N981" i="1"/>
  <c r="N983" i="1" s="1"/>
  <c r="N46" i="1" s="1"/>
  <c r="L514" i="1"/>
  <c r="J33" i="1"/>
  <c r="J39" i="1" s="1"/>
  <c r="J52" i="1" s="1"/>
  <c r="J62" i="1" s="1"/>
  <c r="J23" i="1"/>
  <c r="J54" i="1" s="1"/>
  <c r="E27" i="1"/>
  <c r="E31" i="1" s="1"/>
  <c r="N190" i="1"/>
  <c r="N17" i="1"/>
  <c r="I31" i="1"/>
  <c r="E631" i="1"/>
  <c r="E660" i="1"/>
  <c r="N276" i="1"/>
  <c r="N750" i="1" s="1"/>
  <c r="N1006" i="1" s="1"/>
  <c r="N1105" i="1" s="1"/>
  <c r="H1006" i="1"/>
  <c r="H1105" i="1" s="1"/>
  <c r="I27" i="1"/>
  <c r="I34" i="1" s="1"/>
  <c r="B33" i="1"/>
  <c r="B23" i="1"/>
  <c r="H33" i="1"/>
  <c r="H39" i="1" s="1"/>
  <c r="H52" i="1" s="1"/>
  <c r="H31" i="1"/>
  <c r="N806" i="1"/>
  <c r="N808" i="1" s="1"/>
  <c r="N42" i="1" s="1"/>
  <c r="J514" i="1"/>
  <c r="J1002" i="1"/>
  <c r="D52" i="1"/>
  <c r="C34" i="1"/>
  <c r="E33" i="1"/>
  <c r="E39" i="1" s="1"/>
  <c r="E52" i="1" s="1"/>
  <c r="E62" i="1" s="1"/>
  <c r="K23" i="1"/>
  <c r="L27" i="1"/>
  <c r="N28" i="1"/>
  <c r="G23" i="1"/>
  <c r="G54" i="1" s="1"/>
  <c r="B1002" i="1"/>
  <c r="N11" i="1"/>
  <c r="N10" i="1"/>
  <c r="M31" i="1"/>
  <c r="K31" i="1"/>
  <c r="K33" i="1"/>
  <c r="B585" i="1"/>
  <c r="G660" i="1"/>
  <c r="G631" i="1"/>
  <c r="M585" i="1"/>
  <c r="M551" i="1"/>
  <c r="D1002" i="1"/>
  <c r="D1006" i="1" s="1"/>
  <c r="D1105" i="1" s="1"/>
  <c r="J1006" i="1"/>
  <c r="J1105" i="1" s="1"/>
  <c r="M1002" i="1"/>
  <c r="M1006" i="1" s="1"/>
  <c r="M1105" i="1" s="1"/>
  <c r="J31" i="1"/>
  <c r="N660" i="1"/>
  <c r="N631" i="1"/>
  <c r="E585" i="1"/>
  <c r="E551" i="1"/>
  <c r="E18" i="1"/>
  <c r="E34" i="1" s="1"/>
  <c r="N690" i="1"/>
  <c r="F27" i="1"/>
  <c r="F31" i="1" s="1"/>
  <c r="F427" i="1"/>
  <c r="G750" i="1"/>
  <c r="G1006" i="1" s="1"/>
  <c r="G1105" i="1" s="1"/>
  <c r="K1006" i="1"/>
  <c r="K1105" i="1" s="1"/>
  <c r="I33" i="1"/>
  <c r="I39" i="1" s="1"/>
  <c r="I52" i="1" s="1"/>
  <c r="I62" i="1" s="1"/>
  <c r="C31" i="1"/>
  <c r="C33" i="1"/>
  <c r="C39" i="1" s="1"/>
  <c r="C52" i="1" s="1"/>
  <c r="C62" i="1" s="1"/>
  <c r="E74" i="1" l="1"/>
  <c r="E76" i="1"/>
  <c r="E80" i="1" s="1"/>
  <c r="E84" i="1" s="1"/>
  <c r="M39" i="1"/>
  <c r="M52" i="1" s="1"/>
  <c r="M62" i="1" s="1"/>
  <c r="I54" i="1"/>
  <c r="N31" i="1"/>
  <c r="H62" i="1"/>
  <c r="H54" i="1"/>
  <c r="B54" i="1"/>
  <c r="N33" i="1"/>
  <c r="B39" i="1"/>
  <c r="B52" i="1" s="1"/>
  <c r="B62" i="1" s="1"/>
  <c r="I76" i="1"/>
  <c r="I80" i="1" s="1"/>
  <c r="I84" i="1" s="1"/>
  <c r="I74" i="1"/>
  <c r="F34" i="1"/>
  <c r="K39" i="1"/>
  <c r="K52" i="1" s="1"/>
  <c r="K62" i="1" s="1"/>
  <c r="L34" i="1"/>
  <c r="L39" i="1" s="1"/>
  <c r="L52" i="1" s="1"/>
  <c r="L31" i="1"/>
  <c r="N50" i="1"/>
  <c r="C76" i="1"/>
  <c r="C80" i="1" s="1"/>
  <c r="C84" i="1" s="1"/>
  <c r="C74" i="1"/>
  <c r="D62" i="1"/>
  <c r="D54" i="1"/>
  <c r="C54" i="1"/>
  <c r="N340" i="1"/>
  <c r="N288" i="1"/>
  <c r="N18" i="1"/>
  <c r="N23" i="1" s="1"/>
  <c r="N12" i="1"/>
  <c r="E23" i="1"/>
  <c r="E54" i="1" s="1"/>
  <c r="J76" i="1"/>
  <c r="J80" i="1" s="1"/>
  <c r="J84" i="1" s="1"/>
  <c r="J74" i="1"/>
  <c r="M54" i="1"/>
  <c r="D76" i="1" l="1"/>
  <c r="D80" i="1" s="1"/>
  <c r="D84" i="1" s="1"/>
  <c r="D74" i="1"/>
  <c r="F39" i="1"/>
  <c r="F52" i="1" s="1"/>
  <c r="N34" i="1"/>
  <c r="H74" i="1"/>
  <c r="H76" i="1"/>
  <c r="H80" i="1" s="1"/>
  <c r="H84" i="1" s="1"/>
  <c r="B76" i="1"/>
  <c r="B80" i="1" s="1"/>
  <c r="B84" i="1" s="1"/>
  <c r="B74" i="1"/>
  <c r="L62" i="1"/>
  <c r="L54" i="1"/>
  <c r="K76" i="1"/>
  <c r="K80" i="1" s="1"/>
  <c r="K84" i="1" s="1"/>
  <c r="K74" i="1"/>
  <c r="K54" i="1"/>
  <c r="M74" i="1"/>
  <c r="M76" i="1"/>
  <c r="M80" i="1" s="1"/>
  <c r="M84" i="1" s="1"/>
  <c r="N39" i="1"/>
  <c r="N52" i="1" s="1"/>
  <c r="N62" i="1" s="1"/>
  <c r="N74" i="1" l="1"/>
  <c r="N76" i="1"/>
  <c r="N80" i="1" s="1"/>
  <c r="N84" i="1" s="1"/>
  <c r="N54" i="1"/>
  <c r="F62" i="1"/>
  <c r="F54" i="1"/>
  <c r="L74" i="1"/>
  <c r="L76" i="1"/>
  <c r="L80" i="1" s="1"/>
  <c r="L84" i="1" s="1"/>
  <c r="F74" i="1" l="1"/>
  <c r="F76" i="1"/>
  <c r="F80" i="1" s="1"/>
  <c r="F84" i="1" s="1"/>
</calcChain>
</file>

<file path=xl/sharedStrings.xml><?xml version="1.0" encoding="utf-8"?>
<sst xmlns="http://schemas.openxmlformats.org/spreadsheetml/2006/main" count="739" uniqueCount="661">
  <si>
    <t>All Profit Centers</t>
  </si>
  <si>
    <t>Income Statement</t>
  </si>
  <si>
    <t>Period From 01/01/2025 To 12/31/2025</t>
  </si>
  <si>
    <t/>
  </si>
  <si>
    <t>Total</t>
  </si>
  <si>
    <t>Jan, 2025</t>
  </si>
  <si>
    <t>Feb, 2025</t>
  </si>
  <si>
    <t>Mar, 2025</t>
  </si>
  <si>
    <t>Apr, 2025</t>
  </si>
  <si>
    <t>May, 2025</t>
  </si>
  <si>
    <t>Jun, 2025</t>
  </si>
  <si>
    <t>Jul, 2025</t>
  </si>
  <si>
    <t>Aug, 2025</t>
  </si>
  <si>
    <t>Sep, 2025</t>
  </si>
  <si>
    <t>Oct, 2025</t>
  </si>
  <si>
    <t>Nov, 2025</t>
  </si>
  <si>
    <t>Dec, 2025</t>
  </si>
  <si>
    <t>Jan, 2025 - Dec, 2025</t>
  </si>
  <si>
    <t>Summary</t>
  </si>
  <si>
    <t>Rooms Available</t>
  </si>
  <si>
    <t>Rooms Sold</t>
  </si>
  <si>
    <t>Occupancy %</t>
  </si>
  <si>
    <t>ADR</t>
  </si>
  <si>
    <t>RevPAR</t>
  </si>
  <si>
    <t>Operating Revenue</t>
  </si>
  <si>
    <t>Room Department</t>
  </si>
  <si>
    <t>Food and Beverages Department</t>
  </si>
  <si>
    <t>Other Operating Department</t>
  </si>
  <si>
    <t>Miscellaneous Income</t>
  </si>
  <si>
    <t>Total Operating Revenue</t>
  </si>
  <si>
    <t>Departmental Expenses</t>
  </si>
  <si>
    <t>Total Departmental Expenses</t>
  </si>
  <si>
    <t>Total Departmental Income</t>
  </si>
  <si>
    <t>Undistributed Operating Expense</t>
  </si>
  <si>
    <t>Administrative &amp; General</t>
  </si>
  <si>
    <t>Information &amp; Telecom System</t>
  </si>
  <si>
    <t>Sales &amp; Marketing</t>
  </si>
  <si>
    <t>Franchise &amp; Affiliation</t>
  </si>
  <si>
    <t>Property Operations &amp; Maintenance</t>
  </si>
  <si>
    <t>Utilities</t>
  </si>
  <si>
    <t>Total Undistributed Operating Expense</t>
  </si>
  <si>
    <t>Gross Operating Profit</t>
  </si>
  <si>
    <t>GOP %</t>
  </si>
  <si>
    <t>Management Fees</t>
  </si>
  <si>
    <t>CAM and Lease Expense</t>
  </si>
  <si>
    <t>Total Management Fees</t>
  </si>
  <si>
    <t xml:space="preserve">Income Before </t>
  </si>
  <si>
    <t>Non-Operating Expenses</t>
  </si>
  <si>
    <t>Property &amp; Other Taxes</t>
  </si>
  <si>
    <t>Insurance</t>
  </si>
  <si>
    <t>Other Non-Operating Exp</t>
  </si>
  <si>
    <t>Total Non-Operating Expenses</t>
  </si>
  <si>
    <t>Non-Operating Income</t>
  </si>
  <si>
    <t>Net Operating Income(NOI)</t>
  </si>
  <si>
    <t>EBITDA</t>
  </si>
  <si>
    <t>Interest Expense</t>
  </si>
  <si>
    <t>EBTDA</t>
  </si>
  <si>
    <t>Depreciation &amp; Amortization</t>
  </si>
  <si>
    <t>Net Income (loss)</t>
  </si>
  <si>
    <t>Room Department Revenue</t>
  </si>
  <si>
    <t>Transient Revenue</t>
  </si>
  <si>
    <t>40010.000 . Transient - Best Available Rate</t>
  </si>
  <si>
    <t>40020.000 . Transient - Consortia</t>
  </si>
  <si>
    <t>40060.000 . Transient - Corporate Marketing Programs</t>
  </si>
  <si>
    <t>40070.000 . Transient - Other Discounts</t>
  </si>
  <si>
    <t>40110.000 . Transient - Corporate Negotiate</t>
  </si>
  <si>
    <t>40120.000 . Transient - Local Negotiated</t>
  </si>
  <si>
    <t>40270.000 . Transient Government</t>
  </si>
  <si>
    <t>Total Transient Revenue</t>
  </si>
  <si>
    <t>Group Revenue</t>
  </si>
  <si>
    <t>40350.000 . Group - Corporate</t>
  </si>
  <si>
    <t>40400.000 . Group - Association/Convention</t>
  </si>
  <si>
    <t>40500.000 . Group - Tour/Wholesalers</t>
  </si>
  <si>
    <t>40525.000 . Group - SMERF</t>
  </si>
  <si>
    <t>Total Group Revenue</t>
  </si>
  <si>
    <t>Other Revenue</t>
  </si>
  <si>
    <t>40600.000 . Contract Revenue</t>
  </si>
  <si>
    <t>40800.000 . Room Allowances</t>
  </si>
  <si>
    <t>40900.000 . Guaranteed No Show</t>
  </si>
  <si>
    <t>40930.000 . Late Checkout Fees</t>
  </si>
  <si>
    <t>Total Other Revenue</t>
  </si>
  <si>
    <t>Total Room Department Revenue</t>
  </si>
  <si>
    <t>Room Expense</t>
  </si>
  <si>
    <t>Payroll Expense/Management</t>
  </si>
  <si>
    <t>Management</t>
  </si>
  <si>
    <t>42006.000 . Payroll - Executive Housekeeper</t>
  </si>
  <si>
    <t>42010.000 . Payroll - Assistant Housekeeper</t>
  </si>
  <si>
    <t>42040.000 . Payroll - Front Office Manager</t>
  </si>
  <si>
    <t>42050.000 . Payroll - Front Desk Supervisor</t>
  </si>
  <si>
    <t>42052.000 . Payroll- Valet</t>
  </si>
  <si>
    <t>Total Management</t>
  </si>
  <si>
    <t>Non-Management</t>
  </si>
  <si>
    <t>42060.000 . Payroll - Room Inspectors</t>
  </si>
  <si>
    <t>42070.000 . Payroll - Room Attendants</t>
  </si>
  <si>
    <t>42080.000 . Payroll - House Person</t>
  </si>
  <si>
    <t>42090.000 . Payroll - Lobby/Public Space</t>
  </si>
  <si>
    <t>42100.000 . Payroll - Reservations Desk</t>
  </si>
  <si>
    <t>42110.000 . Payroll - Guest Service Agent</t>
  </si>
  <si>
    <t>42120.000 . Payroll - Night Audit</t>
  </si>
  <si>
    <t>42195.000 . Payroll - Laundry Attendant</t>
  </si>
  <si>
    <t>42199.000 . Contract Labour</t>
  </si>
  <si>
    <t>Total Non-Management</t>
  </si>
  <si>
    <t>Total Payroll Expense/Management</t>
  </si>
  <si>
    <t>Payroll Taxes &amp; Benefits</t>
  </si>
  <si>
    <t>42250.000 . Payroll Taxes</t>
  </si>
  <si>
    <t>42300.000 . Workers Compensation</t>
  </si>
  <si>
    <t>42400.000 . Employee Benefits - Insurance</t>
  </si>
  <si>
    <t>42401.000 . Employee Benefits - Vacation Pay</t>
  </si>
  <si>
    <t>42402.000 . Employee Benefits - Sick Pay</t>
  </si>
  <si>
    <t>42403.000 . Employee Benefits - Holiday Pay</t>
  </si>
  <si>
    <t>Total Payroll Taxes &amp; Benefits</t>
  </si>
  <si>
    <t>Total Room Expense</t>
  </si>
  <si>
    <t>Other Expenses</t>
  </si>
  <si>
    <t>43050.000 . Cleaning Supplies</t>
  </si>
  <si>
    <t>43120.000 . Complimentary F &amp; B</t>
  </si>
  <si>
    <t>43130.000 . Complimentary In Room Entertainment</t>
  </si>
  <si>
    <t>43150.000 . Complimentary Service &amp; Gifts</t>
  </si>
  <si>
    <t>43152.000 . Service Recovery</t>
  </si>
  <si>
    <t>43200.000 . Commissions</t>
  </si>
  <si>
    <t>43210.000 . Commissions &amp; Fees Group</t>
  </si>
  <si>
    <t>43240.000 . Contract Service</t>
  </si>
  <si>
    <t>43250.000 . Decorations</t>
  </si>
  <si>
    <t>43450.000 . Guest Supplies</t>
  </si>
  <si>
    <t>43460.000 . Guest Transportation</t>
  </si>
  <si>
    <t>43465.000 . In-room small appliances</t>
  </si>
  <si>
    <t>43470.000 . In Rooms Guest Supply - Irons - Boards - Hair Dryer - Clocks</t>
  </si>
  <si>
    <t>43480.000 . Laundry</t>
  </si>
  <si>
    <t>43520.000 . Linen</t>
  </si>
  <si>
    <t>43560.000 . Chargebacks</t>
  </si>
  <si>
    <t>43570.000 . Music &amp; Entertainment</t>
  </si>
  <si>
    <t>43580.000 . Operating Supplies</t>
  </si>
  <si>
    <t>43590.000 . Postage and Delivery Charges</t>
  </si>
  <si>
    <t>43700.000 . Printing &amp; Stationary</t>
  </si>
  <si>
    <t>43750.000 . Reservations</t>
  </si>
  <si>
    <t>43800.000 . Training</t>
  </si>
  <si>
    <t>43900.000 . Uniforms</t>
  </si>
  <si>
    <t>43920.000 . Employee Meals</t>
  </si>
  <si>
    <t>Total Other Expenses</t>
  </si>
  <si>
    <t>Total Room Department Expenses</t>
  </si>
  <si>
    <t>Total Room Department Profit/(Loss)</t>
  </si>
  <si>
    <t>Room Statistics</t>
  </si>
  <si>
    <t>Transient - Best Available Rate</t>
  </si>
  <si>
    <t>Transient - Consortia</t>
  </si>
  <si>
    <t>Transient - Government</t>
  </si>
  <si>
    <t>Transient - Corporate Marketing Programs</t>
  </si>
  <si>
    <t>Transient - Other Discounts</t>
  </si>
  <si>
    <t>Transient - Corporate Negotiate</t>
  </si>
  <si>
    <t>Transient - Local Negotiated</t>
  </si>
  <si>
    <t>Group - Corporate</t>
  </si>
  <si>
    <t>Group - Association/Convention</t>
  </si>
  <si>
    <t>Group - Tour/Wholesalers</t>
  </si>
  <si>
    <t>Group - SMERF</t>
  </si>
  <si>
    <t>Contract Revenue</t>
  </si>
  <si>
    <t>Total Rooms Sold</t>
  </si>
  <si>
    <t>Guests</t>
  </si>
  <si>
    <t>Out of Order Rooms</t>
  </si>
  <si>
    <t>Complimentary Rooms</t>
  </si>
  <si>
    <t>Guaranteed No Show Rooms</t>
  </si>
  <si>
    <t>Vacant Rooms</t>
  </si>
  <si>
    <t>Transient ADR</t>
  </si>
  <si>
    <t>Total Transient ADR</t>
  </si>
  <si>
    <t>Group ADR</t>
  </si>
  <si>
    <t>Total Group ADR</t>
  </si>
  <si>
    <t>Contract ADR</t>
  </si>
  <si>
    <t>Total Contract ADR</t>
  </si>
  <si>
    <t>Banquet &amp; Catering Department</t>
  </si>
  <si>
    <t>Banquet &amp; Catering Department Revenue</t>
  </si>
  <si>
    <t>Banqeut Food Revenue</t>
  </si>
  <si>
    <t>50605.000 . Banquet Food Revenue - Breakfast</t>
  </si>
  <si>
    <t>50610.000 . Banquet Food Revenue - Lunch</t>
  </si>
  <si>
    <t>50620.000 . Banquet Food Revenue - Dinner</t>
  </si>
  <si>
    <t>50630.000 . Banquet Food Revenue - Coffee Break</t>
  </si>
  <si>
    <t>50640.000 . Banquet Food Revenue - Reception</t>
  </si>
  <si>
    <t>Total Banqeut Food Revenue</t>
  </si>
  <si>
    <t>Banquet Beverage Revenue</t>
  </si>
  <si>
    <t>50650.000 . Banquet Beverage Revenue - Beer</t>
  </si>
  <si>
    <t>50660.000 . Banquet Beverage Revenue - Liqour</t>
  </si>
  <si>
    <t>50670.000 . Banquet Beverage Revenue - Wine</t>
  </si>
  <si>
    <t>Total Banquet Beverage Revenue</t>
  </si>
  <si>
    <t>Banquet Other Revenue</t>
  </si>
  <si>
    <t>50700.000 . Banquet Room Rental Revenue</t>
  </si>
  <si>
    <t>50710.000 . Banquet Surcharges &amp; Service Charges</t>
  </si>
  <si>
    <t>50800.000 . Banquet A/V Rental Revenue</t>
  </si>
  <si>
    <t>50850.000 . Banquet Other Miscellaneous Revenue</t>
  </si>
  <si>
    <t>Total Banquet Other Revenue</t>
  </si>
  <si>
    <t>Total Banquet &amp; Catering Department Revenue</t>
  </si>
  <si>
    <t>Banquet &amp; Catering Department Cost Of Sales</t>
  </si>
  <si>
    <t>51100.000 . Cost of Food Sales</t>
  </si>
  <si>
    <t>51200.000 . Cost of Beverage</t>
  </si>
  <si>
    <t>51600.000 . Cost of A/V Rental</t>
  </si>
  <si>
    <t>51700.000 . Cost of Other - GRT</t>
  </si>
  <si>
    <t>Total Banquet &amp; Catering Department Cost Of Sales</t>
  </si>
  <si>
    <t>Gross Operating Income</t>
  </si>
  <si>
    <t>Banquet Payroll</t>
  </si>
  <si>
    <t>Banquet Salaries &amp; Wages</t>
  </si>
  <si>
    <t>Banquet Payroll Expense/Management</t>
  </si>
  <si>
    <t>52030.000 . Payroll - Banquet Manager</t>
  </si>
  <si>
    <t>Total Banquet Payroll Expense/Management</t>
  </si>
  <si>
    <t>Banquet Non-Management</t>
  </si>
  <si>
    <t>52040.000 . Payroll - Banquet Captain</t>
  </si>
  <si>
    <t>52100.000 . Payroll - Banquet Server</t>
  </si>
  <si>
    <t>52140.000 . Payroll - Banquet Set Up</t>
  </si>
  <si>
    <t>52199.000 . Contract Labour</t>
  </si>
  <si>
    <t>Total Banquet Non-Management</t>
  </si>
  <si>
    <t>Total Banquet Salaries &amp; Wages</t>
  </si>
  <si>
    <t>Banquet Taxes &amp; Benefits</t>
  </si>
  <si>
    <t>52250.000 . Payroll Taxes</t>
  </si>
  <si>
    <t>52300.000 . Workers Compensation</t>
  </si>
  <si>
    <t>52400.000 . Employee Benefits - Insurance</t>
  </si>
  <si>
    <t>52401.000 . Employee Benefits - Vacation Pay</t>
  </si>
  <si>
    <t>52402.000 . Employee Benefits - Sick Pay</t>
  </si>
  <si>
    <t>52403.000 . Employee Benefits - Holiday Pay</t>
  </si>
  <si>
    <t>Total Banquet Taxes &amp; Benefits</t>
  </si>
  <si>
    <t>Total Banquet Payroll</t>
  </si>
  <si>
    <t>53010.000 . China</t>
  </si>
  <si>
    <t>53050.000 . Cleaning Supplies</t>
  </si>
  <si>
    <t>53150.000 . Complimentary Service &amp; Gifts</t>
  </si>
  <si>
    <t>53240.000 . Contract Services</t>
  </si>
  <si>
    <t>53250.000 . Decorations</t>
  </si>
  <si>
    <t>53255.000 . Dishwashing Supplies</t>
  </si>
  <si>
    <t>53300.000 . Equipment Rental</t>
  </si>
  <si>
    <t>53400.000 . Kitchen Fuel</t>
  </si>
  <si>
    <t>53450.000 . Kitchen Smallwares</t>
  </si>
  <si>
    <t>53500.000 . Licenses &amp; Permits</t>
  </si>
  <si>
    <t>53520.000 . Linen</t>
  </si>
  <si>
    <t>53600.000 . Paper &amp; Plastics</t>
  </si>
  <si>
    <t>53700.000 . Printing &amp; Stationary</t>
  </si>
  <si>
    <t>53800.000 . Training</t>
  </si>
  <si>
    <t>53930.000 . Utensils</t>
  </si>
  <si>
    <t>Total Banquet &amp; Catering Department Expenses</t>
  </si>
  <si>
    <t>Total Banquet &amp; Catering Department Profit/(Loss)</t>
  </si>
  <si>
    <t>Restaurant One</t>
  </si>
  <si>
    <t>Restaurant One Revenue</t>
  </si>
  <si>
    <t>Restaurant One Food Revenue</t>
  </si>
  <si>
    <t>60050.000 . Restaurant One - Food Sales - Breakfast</t>
  </si>
  <si>
    <t>60060.000 . Restaurant One - Food Sales - Lunch</t>
  </si>
  <si>
    <t>60070.000 . Restaurant One - Food Sales - Dinner</t>
  </si>
  <si>
    <t>60990.000 . Restaurant One - Food Allowances</t>
  </si>
  <si>
    <t>Total Restaurant One Food Revenue</t>
  </si>
  <si>
    <t>Restaurant One Beverage Revenue</t>
  </si>
  <si>
    <t>60150.000 . Restaurant One - Beverage Sales - Beer</t>
  </si>
  <si>
    <t>60200.000 . Restaurant One - Beverage Sales - Liquor</t>
  </si>
  <si>
    <t>60300.000 . Restaurant One - Beverage Sales - Wine</t>
  </si>
  <si>
    <t>Total Restaurant One Beverage Revenue</t>
  </si>
  <si>
    <t>Total Restaurant One Revenue</t>
  </si>
  <si>
    <t>Restaurant One Cost Of Sales</t>
  </si>
  <si>
    <t>61100.000 . Cost of Food Sales</t>
  </si>
  <si>
    <t>61200.000 . Cost of Beverage</t>
  </si>
  <si>
    <t>Total Restaurant One Cost Of Sales</t>
  </si>
  <si>
    <t>Restaurant One Payroll</t>
  </si>
  <si>
    <t>Restaurant One Salaries &amp; Wages</t>
  </si>
  <si>
    <t>Restaurant One Payroll Expense/ Management</t>
  </si>
  <si>
    <t>62020.000 . Payroll - Restaurant One Executive Chef</t>
  </si>
  <si>
    <t>62025.000 . Payroll - Restaurant One Sous Chef</t>
  </si>
  <si>
    <t>62030.000 . Payroll - Restaurant One Manager</t>
  </si>
  <si>
    <t>Total Restaurant One Payroll Expense/ Management</t>
  </si>
  <si>
    <t>Restaurant One Non-Management</t>
  </si>
  <si>
    <t>62100.000 . Payroll - Restaurant One Server</t>
  </si>
  <si>
    <t>62150.000 . Payroll - Restaurant One Cook</t>
  </si>
  <si>
    <t>62170.000 . Payroll - Restaurant One Dishwasher</t>
  </si>
  <si>
    <t>62199.000 . Contract Labour</t>
  </si>
  <si>
    <t>Total Restaurant One Non-Management</t>
  </si>
  <si>
    <t>Total Restaurant One Salaries &amp; Wages</t>
  </si>
  <si>
    <t>Restaurant One Taxes &amp; Benefits</t>
  </si>
  <si>
    <t>62250.000 . Payroll Taxes</t>
  </si>
  <si>
    <t>62300.000 . Workers Compensation</t>
  </si>
  <si>
    <t>62400.000 . Employee Benefits - Insurance</t>
  </si>
  <si>
    <t>62401.000 . Employee Benefits - Vacation Pay</t>
  </si>
  <si>
    <t>62402.000 . Employee Benefits - Sick Pay</t>
  </si>
  <si>
    <t>62403.000 . Employee Benefits - Holiday Pay</t>
  </si>
  <si>
    <t>Total Restaurant One Taxes &amp; Benefits</t>
  </si>
  <si>
    <t>Total Restaurant One Payroll</t>
  </si>
  <si>
    <t>63000.000 . China</t>
  </si>
  <si>
    <t>63050.000 . Cleaning Supplies</t>
  </si>
  <si>
    <t>63150.000 . Complimentary Service &amp; Gifts</t>
  </si>
  <si>
    <t>63300.000 . Equipment Rental</t>
  </si>
  <si>
    <t>63330.000 . Utensils</t>
  </si>
  <si>
    <t>63400.000 . Kitchen Fuel</t>
  </si>
  <si>
    <t>63450.000 . Kitchen Smallwares</t>
  </si>
  <si>
    <t>63500.000 . Licenses &amp; Permits</t>
  </si>
  <si>
    <t>63600.000 . Paper &amp; Plastics</t>
  </si>
  <si>
    <t>63700.000 . Printing &amp; Stationary</t>
  </si>
  <si>
    <t>63800.000 . Training</t>
  </si>
  <si>
    <t>63880.000 . Uniforms</t>
  </si>
  <si>
    <t>63925.000 . Licenses &amp; Permits</t>
  </si>
  <si>
    <t>65150.000 . Waste / Grease Removal</t>
  </si>
  <si>
    <t>Total Restaurant One Expenses</t>
  </si>
  <si>
    <t>Total Restaurant One Profit/(Loss)</t>
  </si>
  <si>
    <t>Banquet &amp; Catering</t>
  </si>
  <si>
    <t>Banquet Food Revenue - Breakfast</t>
  </si>
  <si>
    <t>Banquet Food Revenue - Breakfast Avg CK</t>
  </si>
  <si>
    <t>Banquet Food Revenue - Coffee Break</t>
  </si>
  <si>
    <t>Banquet Food Revenue - Coffee Break Avg CK</t>
  </si>
  <si>
    <t>Banquet Food Revenue - Dinner</t>
  </si>
  <si>
    <t>Banquet Food Revenue - Dinner Avg CK</t>
  </si>
  <si>
    <t>Banquet Food Revenue - Lunch</t>
  </si>
  <si>
    <t>Banquet Food Revenue - Lunch Avg CK</t>
  </si>
  <si>
    <t>Restaurant One - Food Sales - Breakfast</t>
  </si>
  <si>
    <t>Restaurant One - Food Sales - Breakfast Avg CK</t>
  </si>
  <si>
    <t>Restaurant One - Food Sales - Dinner</t>
  </si>
  <si>
    <t>Restaurant One - Food Sales - Dinner Avg CK</t>
  </si>
  <si>
    <t>Restaurant One - Food Sales - Lunch</t>
  </si>
  <si>
    <t>Restaurant One - Food Sales - Lunch Avg CK</t>
  </si>
  <si>
    <t>Restaurant Two</t>
  </si>
  <si>
    <t>Restaurant Two Revenue</t>
  </si>
  <si>
    <t>170500.000 . Restaurant Two - Starbucks</t>
  </si>
  <si>
    <t>170990.000 . Restaurant Two - Food Allowances</t>
  </si>
  <si>
    <t>Total Restaurant Two Revenue</t>
  </si>
  <si>
    <t>Restaurant Two Cost Of Sales</t>
  </si>
  <si>
    <t>171100.000 . Restaurant Two - Cost of Food Sales</t>
  </si>
  <si>
    <t>Total Restaurant Two Cost Of Sales</t>
  </si>
  <si>
    <t>Restaurant Two Payroll</t>
  </si>
  <si>
    <t>Restaurant Two Salaries &amp; Wages</t>
  </si>
  <si>
    <t>Restaurant Two Non-Management</t>
  </si>
  <si>
    <t>172105.000 . Payroll - Restaurant Two Server</t>
  </si>
  <si>
    <t>Total Restaurant Two Non-Management</t>
  </si>
  <si>
    <t>Total Restaurant Two Salaries &amp; Wages</t>
  </si>
  <si>
    <t>Restaurant Two Taxes &amp; Benefits</t>
  </si>
  <si>
    <t>172250.000 . Payroll Taxes</t>
  </si>
  <si>
    <t>172300.000 . Workers Compensation</t>
  </si>
  <si>
    <t>172400.000 . Employee Benefits - Insurance</t>
  </si>
  <si>
    <t>172401.000 . Employee Benefits - Vacation Pay</t>
  </si>
  <si>
    <t>172402.000 . Employee Benefits - Sick Pay</t>
  </si>
  <si>
    <t>172403.000 . Employee Benefits - Holiday Pay</t>
  </si>
  <si>
    <t>Total Restaurant Two Taxes &amp; Benefits</t>
  </si>
  <si>
    <t>Total Restaurant Two Payroll</t>
  </si>
  <si>
    <t>173000.000 . Other Expenses Restaurant Two</t>
  </si>
  <si>
    <t>173050.000 . Cleaning Supplies</t>
  </si>
  <si>
    <t>173450.000 . Kitchen Smallwares</t>
  </si>
  <si>
    <t>173500.000 . Licenses &amp; Permits</t>
  </si>
  <si>
    <t>173550.000 . Equipment Repair</t>
  </si>
  <si>
    <t>173580.000 . Operating Supplies</t>
  </si>
  <si>
    <t>173600.000 . Paper &amp; Plastics</t>
  </si>
  <si>
    <t>173760.000 . Royalty Fees</t>
  </si>
  <si>
    <t>173800.000 . Training</t>
  </si>
  <si>
    <t>173880.000 . Uniforms</t>
  </si>
  <si>
    <t>Total Restaurant Two Expenses</t>
  </si>
  <si>
    <t>Total Restaurant Two Profit/(Loss)</t>
  </si>
  <si>
    <t>Lounge Department</t>
  </si>
  <si>
    <t>Lounge Department Revenue</t>
  </si>
  <si>
    <t>Lounge Food Revenue</t>
  </si>
  <si>
    <t>180070.000 . Lounge - Food Sales - Dinner</t>
  </si>
  <si>
    <t>Total Lounge Food Revenue</t>
  </si>
  <si>
    <t>Lounge Beverage Revenue</t>
  </si>
  <si>
    <t>180150.000 . Lounge - Beverage Sales - Beer</t>
  </si>
  <si>
    <t>180200.000 . Lounge - Beverage Sales - Wine</t>
  </si>
  <si>
    <t>180300.000 . Lounge - Beverage Sales - Liqour</t>
  </si>
  <si>
    <t>Total Lounge Beverage Revenue</t>
  </si>
  <si>
    <t>Lounge Other Revenue</t>
  </si>
  <si>
    <t>180500.000 . Lounge - Other F &amp; B Revenue</t>
  </si>
  <si>
    <t>Total Lounge Other Revenue</t>
  </si>
  <si>
    <t>Total Lounge Department Revenue</t>
  </si>
  <si>
    <t>Lounge Department Cost Of Sales</t>
  </si>
  <si>
    <t>181150.000 . Lounge - Cost of Food Sales</t>
  </si>
  <si>
    <t>181200.000 . Lounge - Cost of Beverage</t>
  </si>
  <si>
    <t>Total Lounge Department Cost Of Sales</t>
  </si>
  <si>
    <t>Lounge Payroll</t>
  </si>
  <si>
    <t>Lounge Salaries &amp; Wages</t>
  </si>
  <si>
    <t>Lounge Non-Management</t>
  </si>
  <si>
    <t>182105.000 . Payroll - Lounge Server</t>
  </si>
  <si>
    <t>182120.000 . Payroll - Lounge Bartender</t>
  </si>
  <si>
    <t>Total Lounge Non-Management</t>
  </si>
  <si>
    <t>Total Lounge Salaries &amp; Wages</t>
  </si>
  <si>
    <t>Lounge Payroll Taxes &amp; Benefits</t>
  </si>
  <si>
    <t>182250.000 . Payroll Taxes</t>
  </si>
  <si>
    <t>182300.000 . Workers Compensation</t>
  </si>
  <si>
    <t>182400.000 . Employee Benefits- Insurance</t>
  </si>
  <si>
    <t>182401.000 . Employee Benefits - Vacation Pay</t>
  </si>
  <si>
    <t>182402.000 . Employee Benefits - Sick Pay</t>
  </si>
  <si>
    <t>182403.000 . Employee Benefits - Holiday Pay</t>
  </si>
  <si>
    <t>Total Lounge Payroll Taxes &amp; Benefits</t>
  </si>
  <si>
    <t>Total Lounge Payroll</t>
  </si>
  <si>
    <t>183000.000 . Lounge Expense- The Summit</t>
  </si>
  <si>
    <t>183500.000 . Licenses &amp; Permits</t>
  </si>
  <si>
    <t>183570.000 . Music &amp; Entertainment</t>
  </si>
  <si>
    <t>Total Lounge Department Expenses</t>
  </si>
  <si>
    <t>Total Lounge Department Profit/(Loss)</t>
  </si>
  <si>
    <t>Lounge Revenue</t>
  </si>
  <si>
    <t>Lounge - Food Sales - Dinner</t>
  </si>
  <si>
    <t>Lounge - Food Sales - Dinner Avg CK</t>
  </si>
  <si>
    <t>Room Service Department</t>
  </si>
  <si>
    <t>Room Service Department Revenue</t>
  </si>
  <si>
    <t>Room Service Food Revenue</t>
  </si>
  <si>
    <t>200050.000 . Room Service - Food Sales - Breakfast</t>
  </si>
  <si>
    <t>200060.000 . Room Service - Food Sales - Lunch</t>
  </si>
  <si>
    <t>200070.000 . Room Service - Food Sales - Dinner</t>
  </si>
  <si>
    <t>Total Room Service Food Revenue</t>
  </si>
  <si>
    <t>Room Service Beverage Revenue</t>
  </si>
  <si>
    <t>200150.000 . Room Service - Beverage Sales - Beer</t>
  </si>
  <si>
    <t>200200.000 . Room Service - Beverage Sales - Wine</t>
  </si>
  <si>
    <t>200300.000 . Room Service - Beverage Sales - Liqour</t>
  </si>
  <si>
    <t>Total Room Service Beverage Revenue</t>
  </si>
  <si>
    <t>Room Service Other Revenue</t>
  </si>
  <si>
    <t>200600.000 . Room Service Service Charge</t>
  </si>
  <si>
    <t>Total Room Service Other Revenue</t>
  </si>
  <si>
    <t>Total Room Service Department Revenue</t>
  </si>
  <si>
    <t>Room Service Department Cost Of Sales</t>
  </si>
  <si>
    <t>201150.000 . Room Service - Cost of Food Sales</t>
  </si>
  <si>
    <t>201200.000 . Room Service - Cost of Beverage</t>
  </si>
  <si>
    <t>Total Room Service Department Cost Of Sales</t>
  </si>
  <si>
    <t>Room Service Payroll</t>
  </si>
  <si>
    <t>Room Service Salaries &amp; Wages</t>
  </si>
  <si>
    <t>Room Service Non-Management</t>
  </si>
  <si>
    <t>202180.000 . Payroll - Room Service Bus Help</t>
  </si>
  <si>
    <t>Total Room Service Non-Management</t>
  </si>
  <si>
    <t>Total Room Service Salaries &amp; Wages</t>
  </si>
  <si>
    <t>Room Service Taxes &amp; Benefits</t>
  </si>
  <si>
    <t>202250.000 . Payroll Taxes</t>
  </si>
  <si>
    <t>202300.000 . Workers Compensation</t>
  </si>
  <si>
    <t>202400.000 . Employee Benefits - Insurance</t>
  </si>
  <si>
    <t>202403.000 . Employee Benefits - Holiday Pay</t>
  </si>
  <si>
    <t>Total Room Service Taxes &amp; Benefits</t>
  </si>
  <si>
    <t>Total Room Service Payroll</t>
  </si>
  <si>
    <t>203500.000 . Licenses &amp; Permits</t>
  </si>
  <si>
    <t>Total Room Service Department Expenses</t>
  </si>
  <si>
    <t>Total Room Service Department Profit/(Loss)</t>
  </si>
  <si>
    <t>Room Service Revenue</t>
  </si>
  <si>
    <t>Room Service - Food Sales - Breakfast</t>
  </si>
  <si>
    <t>Room Service - Food Sales - Breakfast Avg CK</t>
  </si>
  <si>
    <t>Room Service - Food Sales - Dinner</t>
  </si>
  <si>
    <t>Room Service - Food Sales - Dinner Avg CK</t>
  </si>
  <si>
    <t>Room Service - Food Sales - Lunch</t>
  </si>
  <si>
    <t>Room Service - Food Sales - Lunch Avg CK</t>
  </si>
  <si>
    <t>Gift Shop Department</t>
  </si>
  <si>
    <t>Gift Shop Department Revenue</t>
  </si>
  <si>
    <t>190005.000 . Gift Shop Revenue</t>
  </si>
  <si>
    <t>Total Gift Shop Department Revenue</t>
  </si>
  <si>
    <t>Gift Shop Department Cost Of Sales</t>
  </si>
  <si>
    <t>191000.000 . Gift Shop - Cost of Sales</t>
  </si>
  <si>
    <t>191300.000 . Gift Shop Cost of Sales</t>
  </si>
  <si>
    <t>Total Gift Shop Department Cost Of Sales</t>
  </si>
  <si>
    <t>Total Gift Shop Department Expenses</t>
  </si>
  <si>
    <t>Total Gift Shop Department Profit/(Loss)</t>
  </si>
  <si>
    <t>Minor Operated Departments</t>
  </si>
  <si>
    <t>Minor Operated Departments Revenue</t>
  </si>
  <si>
    <t>65130.000 . Guest Laundry/Dry Cleaning Income</t>
  </si>
  <si>
    <t>65140.000 . Movie Rental Income</t>
  </si>
  <si>
    <t>65160.000 . Parking Income</t>
  </si>
  <si>
    <t>Total Minor Operated Departments Revenue</t>
  </si>
  <si>
    <t>Minor Operated Departments Expense</t>
  </si>
  <si>
    <t>66130.000 . Guest Laundry/Dry Cleaning Expense</t>
  </si>
  <si>
    <t>66140.000 . Movie Rental Expense</t>
  </si>
  <si>
    <t>66160.000 . Parking Expense</t>
  </si>
  <si>
    <t>66190.000 . Fitness Center Expense</t>
  </si>
  <si>
    <t>Total Minor Operated Departments Expense</t>
  </si>
  <si>
    <t>Minor Operated Departments Profit</t>
  </si>
  <si>
    <t>Guest Laundry/Dry Cleaning Profit</t>
  </si>
  <si>
    <t>Movie Rental Profit</t>
  </si>
  <si>
    <t>Parking Profit</t>
  </si>
  <si>
    <t>Total Minor Operated Departments Profit</t>
  </si>
  <si>
    <t>Miscellaneous Income Revenue</t>
  </si>
  <si>
    <t>70100.000 . Miscellaneous</t>
  </si>
  <si>
    <t>70105.000 . Attrition Fees</t>
  </si>
  <si>
    <t>70200.000 . Cancellation Fees</t>
  </si>
  <si>
    <t>70300.000 . Pet Fees</t>
  </si>
  <si>
    <t>70325.000 . Smoking Fees</t>
  </si>
  <si>
    <t>70330.000 . Internet Income</t>
  </si>
  <si>
    <t>70350.000 . Telephone Income</t>
  </si>
  <si>
    <t>70360.000 . Commissions</t>
  </si>
  <si>
    <t>Total Miscellaneous Income Revenue</t>
  </si>
  <si>
    <t>Administrative &amp; General Cost Of Sales</t>
  </si>
  <si>
    <t>A &amp; G Payroll</t>
  </si>
  <si>
    <t>A &amp; G Salaries &amp; Wages</t>
  </si>
  <si>
    <t>A &amp; G Payroll Expense/ Management</t>
  </si>
  <si>
    <t>82020.000 . Payroll - General Manager</t>
  </si>
  <si>
    <t>82025.000 . Payroll - Director of Operations / Controller</t>
  </si>
  <si>
    <t>Total A &amp; G Payroll Expense/ Management</t>
  </si>
  <si>
    <t>A &amp; G Non-Management</t>
  </si>
  <si>
    <t>82040.000 . Payroll - Accounting</t>
  </si>
  <si>
    <t>82050.000 . Payroll - Human Resources</t>
  </si>
  <si>
    <t>82070.000 . Payroll - Security</t>
  </si>
  <si>
    <t>Total A &amp; G Non-Management</t>
  </si>
  <si>
    <t>Total A &amp; G Salaries &amp; Wages</t>
  </si>
  <si>
    <t>A &amp; G Payroll Taxes &amp; Benefits</t>
  </si>
  <si>
    <t>82220.000 . Bonus &amp; Incentives</t>
  </si>
  <si>
    <t>82250.000 . Payroll Taxes</t>
  </si>
  <si>
    <t>82300.000 . Workers Compensation</t>
  </si>
  <si>
    <t>82375.000 . Associate Relations - Misc</t>
  </si>
  <si>
    <t>82400.000 . Employee Benefits - Insurance</t>
  </si>
  <si>
    <t>82401.000 . Employee Benefits - Vacation Pay</t>
  </si>
  <si>
    <t>82402.000 . Employee Benefits - Sick Pay</t>
  </si>
  <si>
    <t>82403.000 . Employee Benefits - Holiday Pay</t>
  </si>
  <si>
    <t>Total A &amp; G Payroll Taxes &amp; Benefits</t>
  </si>
  <si>
    <t>Total A &amp; G Payroll</t>
  </si>
  <si>
    <t>83040.000 . Human Resources</t>
  </si>
  <si>
    <t>83050.000 . Bank Service Charges</t>
  </si>
  <si>
    <t>83070.000 . Cash Overage/Shortage</t>
  </si>
  <si>
    <t>83080.000 . Centralized Accounting Charges</t>
  </si>
  <si>
    <t>83200.000 . Credit Card Commissions</t>
  </si>
  <si>
    <t>83550.000 . Miscellaneous</t>
  </si>
  <si>
    <t>83600.000 . Payroll Processing</t>
  </si>
  <si>
    <t>83650.000 . Postage &amp; Delivery Charges</t>
  </si>
  <si>
    <t>83700.000 . Printing &amp; Stationary</t>
  </si>
  <si>
    <t>83710.000 . Professional Fees</t>
  </si>
  <si>
    <t>83750.000 . Security</t>
  </si>
  <si>
    <t>83800.000 . Training</t>
  </si>
  <si>
    <t>83810.000 . Travel - Meals &amp; Entertainment</t>
  </si>
  <si>
    <t>83880.000 . Uniforms</t>
  </si>
  <si>
    <t>83920.000 . Employee Meals</t>
  </si>
  <si>
    <t>Total Administrative &amp; General Cost Of Sales</t>
  </si>
  <si>
    <t>Total Administrative &amp; General Expenses</t>
  </si>
  <si>
    <t>Information &amp; Telecom System Cost Of Sales</t>
  </si>
  <si>
    <t>I &amp; T Payroll</t>
  </si>
  <si>
    <t>I &amp; T Salaries &amp; Wages</t>
  </si>
  <si>
    <t>92000.000 . I &amp; T Expense</t>
  </si>
  <si>
    <t>Total I &amp; T Salaries &amp; Wages</t>
  </si>
  <si>
    <t>Total I &amp; T Payroll</t>
  </si>
  <si>
    <t>I &amp; T System Expense</t>
  </si>
  <si>
    <t>93001.000 . Admin &amp; General Systems</t>
  </si>
  <si>
    <t>93004.000 . Rooms Systems</t>
  </si>
  <si>
    <t>93006.000 . Sales &amp; Marketing Systems</t>
  </si>
  <si>
    <t>Total I &amp; T System Expense</t>
  </si>
  <si>
    <t>93012.000 . Property Operations &amp; Maintenance</t>
  </si>
  <si>
    <t>Total Information &amp; Telecom System Cost Of Sales</t>
  </si>
  <si>
    <t>91010.000 . Cost of Internet Services</t>
  </si>
  <si>
    <t>91020.000 . Cost of Local Calls</t>
  </si>
  <si>
    <t>91030.000 . Cost of Long Distance Calls</t>
  </si>
  <si>
    <t>Total Information &amp; Telecom System Expenses</t>
  </si>
  <si>
    <t>Sales &amp; Marketing Cost Of Sales</t>
  </si>
  <si>
    <t>Sales &amp; Marketing Payroll</t>
  </si>
  <si>
    <t>Sales &amp; Marketing Salary &amp; Wages</t>
  </si>
  <si>
    <t>S &amp; M Payroll Expense/Management</t>
  </si>
  <si>
    <t>102008.000 . Payroll - Director of Sales</t>
  </si>
  <si>
    <t>102010.000 . Payroll - Senior Sales Manager</t>
  </si>
  <si>
    <t>Total S &amp; M Payroll Expense/Management</t>
  </si>
  <si>
    <t>S &amp; M Non-Management</t>
  </si>
  <si>
    <t>102050.000 . Payroll - Sales Manager</t>
  </si>
  <si>
    <t>Total S &amp; M Non-Management</t>
  </si>
  <si>
    <t>Total Sales &amp; Marketing Salary &amp; Wages</t>
  </si>
  <si>
    <t>S &amp; M Taxes &amp; Benefits</t>
  </si>
  <si>
    <t>102220.000 . Bonus &amp; Incentives</t>
  </si>
  <si>
    <t>102250.000 . Payroll Taxes</t>
  </si>
  <si>
    <t>102300.000 . Workers Compensation</t>
  </si>
  <si>
    <t>102400.000 . Employee Benefits - Insurance</t>
  </si>
  <si>
    <t>102401.000 . Employee Benefits - Vacation Pay</t>
  </si>
  <si>
    <t>102402.000 . Employee Benefits - Sick Pay</t>
  </si>
  <si>
    <t>102403.000 . Employee Benefits - Holiday Pay</t>
  </si>
  <si>
    <t>Total S &amp; M Taxes &amp; Benefits</t>
  </si>
  <si>
    <t>Total Sales &amp; Marketing Payroll</t>
  </si>
  <si>
    <t>103150.000 . Complimentary Service &amp; Gifts</t>
  </si>
  <si>
    <t>103250.000 . Decorations</t>
  </si>
  <si>
    <t>103260.000 . Dues &amp; Subscriptions</t>
  </si>
  <si>
    <t>103420.000 . Sales and Marketing</t>
  </si>
  <si>
    <t>103580.000 . Operating Supplies</t>
  </si>
  <si>
    <t>103630.000 . Photography</t>
  </si>
  <si>
    <t>103700.000 . Promotion</t>
  </si>
  <si>
    <t>103701.000 . Printing and Stationery</t>
  </si>
  <si>
    <t>103750.000 . Trade Shows</t>
  </si>
  <si>
    <t>103800.000 . Training</t>
  </si>
  <si>
    <t>103850.000 . Travel - Meals &amp; Entertainment</t>
  </si>
  <si>
    <t>Total Sales &amp; Marketing Cost Of Sales</t>
  </si>
  <si>
    <t>Total Sales &amp; Marketing Expenses</t>
  </si>
  <si>
    <t>Franchise &amp; Affiliation Cost Of Sales</t>
  </si>
  <si>
    <t>103010.000 . Franchise &amp; Affiliation Marketing</t>
  </si>
  <si>
    <t>103020.000 . Franchise &amp; Affiliation Marketing - Royalties</t>
  </si>
  <si>
    <t>103030.000 . Loyalty Programs</t>
  </si>
  <si>
    <t>103040.000 . Franchise Invoice Commissions</t>
  </si>
  <si>
    <t>Total Franchise &amp; Affiliation Cost Of Sales</t>
  </si>
  <si>
    <t>Total Franchise &amp; Affiliation Expenses</t>
  </si>
  <si>
    <t>Property Operations &amp; Maintenance Cost Of Sales</t>
  </si>
  <si>
    <t>POM Payroll</t>
  </si>
  <si>
    <t>POM Salary &amp; Wages</t>
  </si>
  <si>
    <t>POM Payroll Expense/Management</t>
  </si>
  <si>
    <t>112005.000 . Payroll - Chief Engineer</t>
  </si>
  <si>
    <t>Total POM Payroll Expense/Management</t>
  </si>
  <si>
    <t>POM Non-Management</t>
  </si>
  <si>
    <t>112030.000 . Payroll - Engineers</t>
  </si>
  <si>
    <t>Total POM Non-Management</t>
  </si>
  <si>
    <t>Total POM Salary &amp; Wages</t>
  </si>
  <si>
    <t>POM Taxes &amp; Benefits</t>
  </si>
  <si>
    <t>112220.000 . Bonus &amp; Incentives</t>
  </si>
  <si>
    <t>112250.000 . Payroll Taxes</t>
  </si>
  <si>
    <t>112300.000 . Workers Compensation</t>
  </si>
  <si>
    <t>112400.000 . Employee Benefits - Insurance</t>
  </si>
  <si>
    <t>112401.000 . Employee Benefits - Vacation Pay</t>
  </si>
  <si>
    <t>112402.000 . Employee Benefits - Sick Pay</t>
  </si>
  <si>
    <t>112403.000 . Employee Benefits - Holiday Pay</t>
  </si>
  <si>
    <t>Total POM Taxes &amp; Benefits</t>
  </si>
  <si>
    <t>Total POM Payroll</t>
  </si>
  <si>
    <t>113000.000 . Other Expense POM Property Operation &amp; Maintance</t>
  </si>
  <si>
    <t>113050.000 . Building</t>
  </si>
  <si>
    <t>113240.000 . Contract Services</t>
  </si>
  <si>
    <t>113265.000 . Electrical &amp; Mechanical Equipment</t>
  </si>
  <si>
    <t>113270.000 . Room Repairs</t>
  </si>
  <si>
    <t>113280.000 . Elevators</t>
  </si>
  <si>
    <t>113290.000 . Engineering Supplies</t>
  </si>
  <si>
    <t>113300.000 . Equipment Rental</t>
  </si>
  <si>
    <t>113350.000 . Furniture &amp; Equipment</t>
  </si>
  <si>
    <t>113380.000 . Grounds Maintenance &amp; Landscaping</t>
  </si>
  <si>
    <t>113400.000 . HVAC Repairs</t>
  </si>
  <si>
    <t>113450.000 . Kitchen Equipment</t>
  </si>
  <si>
    <t>113480.000 . Laundry Equipment</t>
  </si>
  <si>
    <t>113500.000 . Licenses &amp; Permits</t>
  </si>
  <si>
    <t>113505.000 . Life/Safety</t>
  </si>
  <si>
    <t>113510.000 . Light Bulbs</t>
  </si>
  <si>
    <t>113620.000 . Painting &amp; Decorating</t>
  </si>
  <si>
    <t>113650.000 . Plumbing</t>
  </si>
  <si>
    <t>113700.000 . Printing and Stationery</t>
  </si>
  <si>
    <t>113750.000 . Swimming Pool</t>
  </si>
  <si>
    <t>113810.000 . Signage</t>
  </si>
  <si>
    <t>113830.000 . Vacuum Cleaners</t>
  </si>
  <si>
    <t>113835.000 . Refrigerators</t>
  </si>
  <si>
    <t>113845.000 . Telephones</t>
  </si>
  <si>
    <t>113860.000 . Irons &amp; Iron boards</t>
  </si>
  <si>
    <t>113880.000 . Television</t>
  </si>
  <si>
    <t>113910.000 . Uniforms</t>
  </si>
  <si>
    <t>113950.000 . Vehicle Repairs</t>
  </si>
  <si>
    <t>113951.000 . Pest Control</t>
  </si>
  <si>
    <t>113953.000 . Ice Machine and Repairs</t>
  </si>
  <si>
    <t>Total Property Operations &amp; Maintenance Cost Of Sales</t>
  </si>
  <si>
    <t>Total Property Operations &amp; Maintenance Expenses</t>
  </si>
  <si>
    <t>Utilities Cost Of Sales</t>
  </si>
  <si>
    <t>123005.000 . Electricity</t>
  </si>
  <si>
    <t>123100.000 . Water &amp; Sewer</t>
  </si>
  <si>
    <t>123150.000 . Gas &amp; Oil</t>
  </si>
  <si>
    <t>123155.000 . Other Fuels</t>
  </si>
  <si>
    <t>123160.000 . Waste Removal</t>
  </si>
  <si>
    <t>Total Utilities Cost Of Sales</t>
  </si>
  <si>
    <t>Total Utilities Expenses</t>
  </si>
  <si>
    <t>CAM and Lease Expense Cost Of Sales</t>
  </si>
  <si>
    <t>153000.000 . CAM and Lease Expense</t>
  </si>
  <si>
    <t>153100.000 . Lease - Other Property and Equipment</t>
  </si>
  <si>
    <t>Total CAM and Lease Expense Cost Of Sales</t>
  </si>
  <si>
    <t>Total CAM and Lease Expense Expenses</t>
  </si>
  <si>
    <t>Management Fees Cost Of Sales</t>
  </si>
  <si>
    <t>143025.000 . Incentive Fees</t>
  </si>
  <si>
    <t>143100.000 . Asset Management Fees</t>
  </si>
  <si>
    <t>Total Management Fees Cost Of Sales</t>
  </si>
  <si>
    <t>Total Management Fees Expenses</t>
  </si>
  <si>
    <t>Property &amp; Other Taxes Cost Of Sales</t>
  </si>
  <si>
    <t>153450.000 . Real Estate Taxes</t>
  </si>
  <si>
    <t>153550.000 . Franchise tax</t>
  </si>
  <si>
    <t>Total Property &amp; Other Taxes Cost Of Sales</t>
  </si>
  <si>
    <t>Total Property &amp; Other Taxes Expenses</t>
  </si>
  <si>
    <t>Insurance Cost Of Sales</t>
  </si>
  <si>
    <t>153810.000 . Building Insurance</t>
  </si>
  <si>
    <t>153850.000 . Liability Insurance</t>
  </si>
  <si>
    <t>153851.000 . General Liability Insurance</t>
  </si>
  <si>
    <t>153852.000 . Auto Insurance</t>
  </si>
  <si>
    <t>Total Insurance Cost Of Sales</t>
  </si>
  <si>
    <t>Total Insurance Expenses</t>
  </si>
  <si>
    <t>Other Non-Operating Exp Cost Of Sales</t>
  </si>
  <si>
    <t>00000.000 . Ask the Accountant</t>
  </si>
  <si>
    <t>41000.000 . Prior Period Expense</t>
  </si>
  <si>
    <t>Total Other Non-Operating Exp Cost Of Sales</t>
  </si>
  <si>
    <t>Total Other Non-Operating Exp Expenses</t>
  </si>
  <si>
    <t>Non-Operating Income Revenue</t>
  </si>
  <si>
    <t>210100.000 . Interest Income</t>
  </si>
  <si>
    <t>210300.000 . Other Non-Recurring Income</t>
  </si>
  <si>
    <t>Total Non-Operating Income Revenue</t>
  </si>
  <si>
    <t>Interest Expense Cost Of Sales</t>
  </si>
  <si>
    <t>153200.000 . Mortgage Interest Expense</t>
  </si>
  <si>
    <t>153210.000 . Interest Expense</t>
  </si>
  <si>
    <t>Total Interest Expense Cost Of Sales</t>
  </si>
  <si>
    <t>Total Interest Expense Expenses</t>
  </si>
  <si>
    <t>Depreciation &amp; Amortization Cost Of Sales</t>
  </si>
  <si>
    <t>154100.000 . Depreciation</t>
  </si>
  <si>
    <t>154200.000 . Amortization Expense</t>
  </si>
  <si>
    <t>Total Depreciation &amp; Amortization Cost Of Sales</t>
  </si>
  <si>
    <t>Total Depreciation &amp; Amortization Expenses</t>
  </si>
  <si>
    <t>Test Hospitality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</si>
</sst>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"/>
    <numFmt numFmtId="165" formatCode="#,##0.00;\-#,##0.00"/>
    <numFmt numFmtId="166" formatCode="#,##0.00%;\-#,##0.00%"/>
  </numFmts>
  <fonts count="4" x14ac:knownFonts="1">
    <font>
      <sz val="11"/>
      <color theme="1"/>
      <name val="Calibri"/>
    </font>
    <font>
      <sz val="8"/>
      <color theme="1"/>
      <name val="Verdana"/>
    </font>
    <font>
      <b/>
      <sz val="9"/>
      <color theme="1"/>
      <name val="Verdana"/>
    </font>
    <font>
      <b/>
      <sz val="8"/>
      <color theme="1"/>
      <name val="Verdan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rgb="FF010101"/>
      </top>
      <bottom style="thin">
        <color rgb="FF010101"/>
      </bottom>
      <diagonal/>
    </border>
    <border>
      <left style="thin">
        <color rgb="FF010101"/>
      </left>
      <right/>
      <top style="thin">
        <color rgb="FF010101"/>
      </top>
      <bottom style="thin">
        <color rgb="FF010101"/>
      </bottom>
      <diagonal/>
    </border>
    <border>
      <left/>
      <right/>
      <top/>
      <bottom style="thin">
        <color rgb="FF010101"/>
      </bottom>
      <diagonal/>
    </border>
    <border>
      <left/>
      <right style="thin">
        <color rgb="FF010101"/>
      </right>
      <top/>
      <bottom style="thin">
        <color rgb="FF010101"/>
      </bottom>
      <diagonal/>
    </border>
    <border>
      <left/>
      <right/>
      <top/>
      <bottom style="double">
        <color rgb="FF01010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Alignment="1">
      <alignment wrapText="1"/>
    </xf>
    <xf numFmtId="164" fontId="3" fillId="0" borderId="0" xfId="0" applyNumberFormat="1" applyFont="1"/>
    <xf numFmtId="165" fontId="3" fillId="0" borderId="0" xfId="0" applyNumberFormat="1" applyFont="1"/>
    <xf numFmtId="165" fontId="1" fillId="0" borderId="0" xfId="0" applyNumberFormat="1" applyFont="1"/>
    <xf numFmtId="0" fontId="3" fillId="0" borderId="3" xfId="0" applyFont="1" applyBorder="1" applyAlignment="1">
      <alignment wrapText="1"/>
    </xf>
    <xf numFmtId="0" fontId="3" fillId="0" borderId="3" xfId="0" applyFont="1" applyBorder="1"/>
    <xf numFmtId="166" fontId="3" fillId="0" borderId="0" xfId="0" applyNumberFormat="1" applyFont="1"/>
    <xf numFmtId="0" fontId="1" fillId="0" borderId="5" xfId="0" applyFont="1" applyBorder="1" applyAlignment="1">
      <alignment wrapText="1"/>
    </xf>
    <xf numFmtId="0" fontId="1" fillId="0" borderId="5" xfId="0" applyFont="1" applyBorder="1"/>
    <xf numFmtId="0" fontId="3" fillId="0" borderId="0" xfId="0" applyFont="1" applyAlignment="1">
      <alignment wrapText="1" indent="1"/>
    </xf>
    <xf numFmtId="0" fontId="1" fillId="0" borderId="0" xfId="0" applyFont="1" applyAlignment="1">
      <alignment wrapText="1" indent="1"/>
    </xf>
    <xf numFmtId="164" fontId="1" fillId="0" borderId="0" xfId="0" applyNumberFormat="1" applyFont="1"/>
    <xf numFmtId="0" fontId="1" fillId="0" borderId="1" xfId="0" applyFont="1" applyBorder="1"/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07"/>
  <sheetViews>
    <sheetView showGridLines="0" tabSelected="1" zoomScaleNormal="100" workbookViewId="0">
      <pane xSplit="1" ySplit="7" topLeftCell="B8" activePane="bottomRight" state="frozen"/>
      <selection pane="topRight"/>
      <selection pane="bottomLeft"/>
      <selection pane="bottomRight" activeCell="F26" sqref="F26"/>
    </sheetView>
  </sheetViews>
  <sheetFormatPr defaultColWidth="0" defaultRowHeight="10.199999999999999" x14ac:dyDescent="0.2"/>
  <cols>
    <col min="1" max="1" width="57.109375" style="1" customWidth="1"/>
    <col min="2" max="2" width="9.88671875" style="2" customWidth="1"/>
    <col min="3" max="13" width="12.109375" style="2" customWidth="1"/>
    <col min="14" max="14" width="18.6640625" style="2" customWidth="1"/>
    <col min="15" max="15" width="0" style="2" hidden="1" customWidth="1"/>
    <col min="16" max="16384" width="0" style="2" hidden="1"/>
  </cols>
  <sheetData>
    <row r="1" spans="1:14" ht="11.4" x14ac:dyDescent="0.2">
      <c r="A1" s="21" t="s">
        <v>660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11.4" x14ac:dyDescent="0.2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11.4" x14ac:dyDescent="0.2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11.4" x14ac:dyDescent="0.2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11.4" x14ac:dyDescent="0.2">
      <c r="A5" s="21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 x14ac:dyDescent="0.2">
      <c r="A6" s="3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0" t="s">
        <v>4</v>
      </c>
    </row>
    <row r="7" spans="1:14" ht="15" customHeight="1" x14ac:dyDescent="0.2">
      <c r="A7" s="4"/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6" t="s">
        <v>17</v>
      </c>
    </row>
    <row r="8" spans="1:14" x14ac:dyDescent="0.2">
      <c r="A8" s="7" t="s">
        <v>18</v>
      </c>
    </row>
    <row r="10" spans="1:14" x14ac:dyDescent="0.2">
      <c r="A10" s="7" t="s">
        <v>19</v>
      </c>
      <c r="B10" s="8">
        <f t="shared" ref="B10:N10" si="0">B208+B213+B214+B216</f>
        <v>12028</v>
      </c>
      <c r="C10" s="8">
        <f t="shared" si="0"/>
        <v>10864</v>
      </c>
      <c r="D10" s="8">
        <f t="shared" si="0"/>
        <v>12028</v>
      </c>
      <c r="E10" s="8">
        <f t="shared" si="0"/>
        <v>11640</v>
      </c>
      <c r="F10" s="8">
        <f t="shared" si="0"/>
        <v>11945</v>
      </c>
      <c r="G10" s="8">
        <f t="shared" si="0"/>
        <v>11640</v>
      </c>
      <c r="H10" s="8">
        <f t="shared" si="0"/>
        <v>12028</v>
      </c>
      <c r="I10" s="8">
        <f t="shared" si="0"/>
        <v>12028</v>
      </c>
      <c r="J10" s="8">
        <f t="shared" si="0"/>
        <v>11640</v>
      </c>
      <c r="K10" s="8">
        <f t="shared" si="0"/>
        <v>12028</v>
      </c>
      <c r="L10" s="8">
        <f t="shared" si="0"/>
        <v>11640</v>
      </c>
      <c r="M10" s="8">
        <f t="shared" si="0"/>
        <v>12028</v>
      </c>
      <c r="N10" s="8">
        <f t="shared" si="0"/>
        <v>141537</v>
      </c>
    </row>
    <row r="11" spans="1:14" x14ac:dyDescent="0.2">
      <c r="A11" s="7" t="s">
        <v>20</v>
      </c>
      <c r="B11" s="8">
        <f t="shared" ref="B11:N11" si="1">B208</f>
        <v>4468</v>
      </c>
      <c r="C11" s="8">
        <f t="shared" si="1"/>
        <v>6452</v>
      </c>
      <c r="D11" s="8">
        <f t="shared" si="1"/>
        <v>7352</v>
      </c>
      <c r="E11" s="8">
        <f t="shared" si="1"/>
        <v>6446</v>
      </c>
      <c r="F11" s="8">
        <f t="shared" si="1"/>
        <v>7389</v>
      </c>
      <c r="G11" s="8">
        <f t="shared" si="1"/>
        <v>6287</v>
      </c>
      <c r="H11" s="8">
        <f t="shared" si="1"/>
        <v>7263</v>
      </c>
      <c r="I11" s="8">
        <f t="shared" si="1"/>
        <v>7231</v>
      </c>
      <c r="J11" s="8">
        <f t="shared" si="1"/>
        <v>6037</v>
      </c>
      <c r="K11" s="8">
        <f t="shared" si="1"/>
        <v>6846</v>
      </c>
      <c r="L11" s="8">
        <f t="shared" si="1"/>
        <v>6444</v>
      </c>
      <c r="M11" s="8">
        <f t="shared" si="1"/>
        <v>5260</v>
      </c>
      <c r="N11" s="8">
        <f t="shared" si="1"/>
        <v>77475</v>
      </c>
    </row>
    <row r="12" spans="1:14" x14ac:dyDescent="0.2">
      <c r="A12" s="7" t="s">
        <v>21</v>
      </c>
      <c r="B12" s="9">
        <f t="shared" ref="B12:N12" si="2">ROUND(IF(B10=0,0,(ROUND(B11,0) / ROUND(B10,0))*100),2)</f>
        <v>37.15</v>
      </c>
      <c r="C12" s="9">
        <f t="shared" si="2"/>
        <v>59.39</v>
      </c>
      <c r="D12" s="9">
        <f t="shared" si="2"/>
        <v>61.12</v>
      </c>
      <c r="E12" s="9">
        <f t="shared" si="2"/>
        <v>55.38</v>
      </c>
      <c r="F12" s="9">
        <f t="shared" si="2"/>
        <v>61.86</v>
      </c>
      <c r="G12" s="9">
        <f t="shared" si="2"/>
        <v>54.01</v>
      </c>
      <c r="H12" s="9">
        <f t="shared" si="2"/>
        <v>60.38</v>
      </c>
      <c r="I12" s="9">
        <f t="shared" si="2"/>
        <v>60.12</v>
      </c>
      <c r="J12" s="9">
        <f t="shared" si="2"/>
        <v>51.86</v>
      </c>
      <c r="K12" s="9">
        <f t="shared" si="2"/>
        <v>56.92</v>
      </c>
      <c r="L12" s="9">
        <f t="shared" si="2"/>
        <v>55.36</v>
      </c>
      <c r="M12" s="9">
        <f t="shared" si="2"/>
        <v>43.73</v>
      </c>
      <c r="N12" s="9">
        <f t="shared" si="2"/>
        <v>54.74</v>
      </c>
    </row>
    <row r="13" spans="1:14" x14ac:dyDescent="0.2">
      <c r="A13" s="7" t="s">
        <v>22</v>
      </c>
      <c r="B13" s="9">
        <v>147.31</v>
      </c>
      <c r="C13" s="9">
        <v>160.61000000000001</v>
      </c>
      <c r="D13" s="9">
        <v>174.4</v>
      </c>
      <c r="E13" s="9">
        <v>160.37</v>
      </c>
      <c r="F13" s="9">
        <v>137.18</v>
      </c>
      <c r="G13" s="9">
        <v>140.12</v>
      </c>
      <c r="H13" s="9">
        <v>100.8</v>
      </c>
      <c r="I13" s="9">
        <v>106.64</v>
      </c>
      <c r="J13" s="9">
        <v>134.05000000000001</v>
      </c>
      <c r="K13" s="9">
        <v>134.49</v>
      </c>
      <c r="L13" s="9">
        <v>141.08000000000001</v>
      </c>
      <c r="M13" s="9">
        <v>115.52</v>
      </c>
      <c r="N13" s="9">
        <v>137.53</v>
      </c>
    </row>
    <row r="14" spans="1:14" x14ac:dyDescent="0.2">
      <c r="A14" s="7" t="s">
        <v>23</v>
      </c>
      <c r="B14" s="9">
        <v>54.72</v>
      </c>
      <c r="C14" s="9">
        <v>95.39</v>
      </c>
      <c r="D14" s="9">
        <v>106.6</v>
      </c>
      <c r="E14" s="9">
        <v>88.81</v>
      </c>
      <c r="F14" s="9">
        <v>84.85</v>
      </c>
      <c r="G14" s="9">
        <v>75.680000000000007</v>
      </c>
      <c r="H14" s="9">
        <v>60.87</v>
      </c>
      <c r="I14" s="9">
        <v>64.11</v>
      </c>
      <c r="J14" s="9">
        <v>69.52</v>
      </c>
      <c r="K14" s="9">
        <v>76.55</v>
      </c>
      <c r="L14" s="9">
        <v>78.099999999999994</v>
      </c>
      <c r="M14" s="9">
        <v>50.52</v>
      </c>
      <c r="N14" s="9">
        <v>75.28</v>
      </c>
    </row>
    <row r="15" spans="1:14" ht="4.95" customHeight="1" x14ac:dyDescent="0.2"/>
    <row r="16" spans="1:14" x14ac:dyDescent="0.2">
      <c r="A16" s="7" t="s">
        <v>24</v>
      </c>
    </row>
    <row r="17" spans="1:14" x14ac:dyDescent="0.2">
      <c r="A17" s="1" t="s">
        <v>25</v>
      </c>
      <c r="B17" s="10">
        <f t="shared" ref="B17:N17" si="3">B121</f>
        <v>658158.95000000007</v>
      </c>
      <c r="C17" s="10">
        <f t="shared" si="3"/>
        <v>1036285.5000000001</v>
      </c>
      <c r="D17" s="10">
        <f t="shared" si="3"/>
        <v>1282198.05</v>
      </c>
      <c r="E17" s="10">
        <f t="shared" si="3"/>
        <v>1033765.3900000001</v>
      </c>
      <c r="F17" s="10">
        <f t="shared" si="3"/>
        <v>1013590.1599999999</v>
      </c>
      <c r="G17" s="10">
        <f t="shared" si="3"/>
        <v>880917.8</v>
      </c>
      <c r="H17" s="10">
        <f t="shared" si="3"/>
        <v>732108.59</v>
      </c>
      <c r="I17" s="10">
        <f t="shared" si="3"/>
        <v>771144.2300000001</v>
      </c>
      <c r="J17" s="10">
        <f t="shared" si="3"/>
        <v>809241.26000000013</v>
      </c>
      <c r="K17" s="10">
        <f t="shared" si="3"/>
        <v>920518.69</v>
      </c>
      <c r="L17" s="10">
        <f t="shared" si="3"/>
        <v>908426.73</v>
      </c>
      <c r="M17" s="10">
        <f t="shared" si="3"/>
        <v>607637.28</v>
      </c>
      <c r="N17" s="10">
        <f t="shared" si="3"/>
        <v>10653992.630000001</v>
      </c>
    </row>
    <row r="18" spans="1:14" x14ac:dyDescent="0.2">
      <c r="A18" s="1" t="s">
        <v>26</v>
      </c>
      <c r="B18" s="10">
        <f t="shared" ref="B18:N18" si="4">B276+B364+B465+B541+B621</f>
        <v>195118.25999999998</v>
      </c>
      <c r="C18" s="10">
        <f t="shared" si="4"/>
        <v>380670.19999999995</v>
      </c>
      <c r="D18" s="10">
        <f t="shared" si="4"/>
        <v>369162.05</v>
      </c>
      <c r="E18" s="10">
        <f t="shared" si="4"/>
        <v>378943.49999999994</v>
      </c>
      <c r="F18" s="10">
        <f t="shared" si="4"/>
        <v>241284.94</v>
      </c>
      <c r="G18" s="10">
        <f t="shared" si="4"/>
        <v>190632.56</v>
      </c>
      <c r="H18" s="10">
        <f t="shared" si="4"/>
        <v>168674.41999999998</v>
      </c>
      <c r="I18" s="10">
        <f t="shared" si="4"/>
        <v>208923.43</v>
      </c>
      <c r="J18" s="10">
        <f t="shared" si="4"/>
        <v>290273.43</v>
      </c>
      <c r="K18" s="10">
        <f t="shared" si="4"/>
        <v>408686.89</v>
      </c>
      <c r="L18" s="10">
        <f t="shared" si="4"/>
        <v>417733.58</v>
      </c>
      <c r="M18" s="10">
        <f t="shared" si="4"/>
        <v>202155.89999999997</v>
      </c>
      <c r="N18" s="10">
        <f t="shared" si="4"/>
        <v>3452259.1600000006</v>
      </c>
    </row>
    <row r="19" spans="1:14" x14ac:dyDescent="0.2">
      <c r="A19" s="1" t="s">
        <v>27</v>
      </c>
      <c r="B19" s="10">
        <f t="shared" ref="B19:N19" si="5">B680+B706</f>
        <v>80864.11</v>
      </c>
      <c r="C19" s="10">
        <f t="shared" si="5"/>
        <v>120408.68000000001</v>
      </c>
      <c r="D19" s="10">
        <f t="shared" si="5"/>
        <v>153969.19</v>
      </c>
      <c r="E19" s="10">
        <f t="shared" si="5"/>
        <v>106281.53</v>
      </c>
      <c r="F19" s="10">
        <f t="shared" si="5"/>
        <v>145067.86000000002</v>
      </c>
      <c r="G19" s="10">
        <f t="shared" si="5"/>
        <v>136422.14000000001</v>
      </c>
      <c r="H19" s="10">
        <f t="shared" si="5"/>
        <v>163985.04999999999</v>
      </c>
      <c r="I19" s="10">
        <f t="shared" si="5"/>
        <v>149177.42000000001</v>
      </c>
      <c r="J19" s="10">
        <f t="shared" si="5"/>
        <v>110858.41</v>
      </c>
      <c r="K19" s="10">
        <f t="shared" si="5"/>
        <v>112136.5</v>
      </c>
      <c r="L19" s="10">
        <f t="shared" si="5"/>
        <v>63861.18</v>
      </c>
      <c r="M19" s="10">
        <f t="shared" si="5"/>
        <v>85020.14</v>
      </c>
      <c r="N19" s="10">
        <f t="shared" si="5"/>
        <v>1428052.2100000004</v>
      </c>
    </row>
    <row r="20" spans="1:14" x14ac:dyDescent="0.2">
      <c r="A20" s="1" t="s">
        <v>28</v>
      </c>
      <c r="B20" s="10">
        <f t="shared" ref="B20:N20" si="6">B745</f>
        <v>909.31999999999982</v>
      </c>
      <c r="C20" s="10">
        <f t="shared" si="6"/>
        <v>437.62000000000012</v>
      </c>
      <c r="D20" s="10">
        <f t="shared" si="6"/>
        <v>8379.2900000000027</v>
      </c>
      <c r="E20" s="10">
        <f t="shared" si="6"/>
        <v>1055.6199999999999</v>
      </c>
      <c r="F20" s="10">
        <f t="shared" si="6"/>
        <v>147.57999999999993</v>
      </c>
      <c r="G20" s="10">
        <f t="shared" si="6"/>
        <v>2352.15</v>
      </c>
      <c r="H20" s="10">
        <f t="shared" si="6"/>
        <v>3329.9</v>
      </c>
      <c r="I20" s="10">
        <f t="shared" si="6"/>
        <v>1278.6899999999998</v>
      </c>
      <c r="J20" s="10">
        <f t="shared" si="6"/>
        <v>341.32999999999993</v>
      </c>
      <c r="K20" s="10">
        <f t="shared" si="6"/>
        <v>457.90999999999985</v>
      </c>
      <c r="L20" s="10">
        <f t="shared" si="6"/>
        <v>-636.92000000000007</v>
      </c>
      <c r="M20" s="10">
        <f t="shared" si="6"/>
        <v>7817.98</v>
      </c>
      <c r="N20" s="10">
        <f t="shared" si="6"/>
        <v>25870.469999999994</v>
      </c>
    </row>
    <row r="21" spans="1:14" ht="4.95" customHeight="1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ht="4.95" customHeight="1" x14ac:dyDescent="0.2"/>
    <row r="23" spans="1:14" x14ac:dyDescent="0.2">
      <c r="A23" s="7" t="s">
        <v>29</v>
      </c>
      <c r="B23" s="9">
        <f t="shared" ref="B23:N23" si="7">B17+B18+B19+B20</f>
        <v>935050.64</v>
      </c>
      <c r="C23" s="9">
        <f t="shared" si="7"/>
        <v>1537802.0000000002</v>
      </c>
      <c r="D23" s="9">
        <f t="shared" si="7"/>
        <v>1813708.58</v>
      </c>
      <c r="E23" s="9">
        <f t="shared" si="7"/>
        <v>1520046.0400000003</v>
      </c>
      <c r="F23" s="9">
        <f t="shared" si="7"/>
        <v>1400090.54</v>
      </c>
      <c r="G23" s="9">
        <f t="shared" si="7"/>
        <v>1210324.6499999999</v>
      </c>
      <c r="H23" s="9">
        <f t="shared" si="7"/>
        <v>1068097.96</v>
      </c>
      <c r="I23" s="9">
        <f t="shared" si="7"/>
        <v>1130523.77</v>
      </c>
      <c r="J23" s="9">
        <f t="shared" si="7"/>
        <v>1210714.4300000002</v>
      </c>
      <c r="K23" s="9">
        <f t="shared" si="7"/>
        <v>1441799.99</v>
      </c>
      <c r="L23" s="9">
        <f t="shared" si="7"/>
        <v>1389384.57</v>
      </c>
      <c r="M23" s="9">
        <f t="shared" si="7"/>
        <v>902631.29999999993</v>
      </c>
      <c r="N23" s="9">
        <f t="shared" si="7"/>
        <v>15560174.470000003</v>
      </c>
    </row>
    <row r="24" spans="1:14" ht="4.95" customHeight="1" x14ac:dyDescent="0.2"/>
    <row r="25" spans="1:14" x14ac:dyDescent="0.2">
      <c r="A25" s="7" t="s">
        <v>30</v>
      </c>
    </row>
    <row r="26" spans="1:14" x14ac:dyDescent="0.2">
      <c r="A26" s="1" t="s">
        <v>25</v>
      </c>
      <c r="B26" s="10">
        <f t="shared" ref="B26:N26" si="8">B188</f>
        <v>176962.80000000002</v>
      </c>
      <c r="C26" s="10">
        <f t="shared" si="8"/>
        <v>191913.62</v>
      </c>
      <c r="D26" s="10">
        <f t="shared" si="8"/>
        <v>230519.73000000004</v>
      </c>
      <c r="E26" s="10">
        <f t="shared" si="8"/>
        <v>202585.5</v>
      </c>
      <c r="F26" s="10">
        <f t="shared" si="8"/>
        <v>211453.3</v>
      </c>
      <c r="G26" s="10">
        <f t="shared" si="8"/>
        <v>181303.34999999998</v>
      </c>
      <c r="H26" s="10">
        <f t="shared" si="8"/>
        <v>229689.31999999998</v>
      </c>
      <c r="I26" s="10">
        <f t="shared" si="8"/>
        <v>241025.4</v>
      </c>
      <c r="J26" s="10">
        <f t="shared" si="8"/>
        <v>216818.75999999998</v>
      </c>
      <c r="K26" s="10">
        <f t="shared" si="8"/>
        <v>236261.25</v>
      </c>
      <c r="L26" s="10">
        <f t="shared" si="8"/>
        <v>221068.16</v>
      </c>
      <c r="M26" s="10">
        <f t="shared" si="8"/>
        <v>201207.24</v>
      </c>
      <c r="N26" s="10">
        <f t="shared" si="8"/>
        <v>2540808.4300000002</v>
      </c>
    </row>
    <row r="27" spans="1:14" x14ac:dyDescent="0.2">
      <c r="A27" s="1" t="s">
        <v>26</v>
      </c>
      <c r="B27" s="10">
        <f t="shared" ref="B27:N27" si="9">B338+B425+B512+B583+B658</f>
        <v>166846.72999999998</v>
      </c>
      <c r="C27" s="10">
        <f t="shared" si="9"/>
        <v>204402.29000000004</v>
      </c>
      <c r="D27" s="10">
        <f t="shared" si="9"/>
        <v>214132.05</v>
      </c>
      <c r="E27" s="10">
        <f t="shared" si="9"/>
        <v>206404.56999999998</v>
      </c>
      <c r="F27" s="10">
        <f t="shared" si="9"/>
        <v>186260.01</v>
      </c>
      <c r="G27" s="10">
        <f t="shared" si="9"/>
        <v>145929.59</v>
      </c>
      <c r="H27" s="10">
        <f t="shared" si="9"/>
        <v>130120.12000000001</v>
      </c>
      <c r="I27" s="10">
        <f t="shared" si="9"/>
        <v>151958.99000000002</v>
      </c>
      <c r="J27" s="10">
        <f t="shared" si="9"/>
        <v>180260.62</v>
      </c>
      <c r="K27" s="10">
        <f t="shared" si="9"/>
        <v>215625.64999999997</v>
      </c>
      <c r="L27" s="10">
        <f t="shared" si="9"/>
        <v>192045.54</v>
      </c>
      <c r="M27" s="10">
        <f t="shared" si="9"/>
        <v>145730.49</v>
      </c>
      <c r="N27" s="10">
        <f t="shared" si="9"/>
        <v>2139716.6500000004</v>
      </c>
    </row>
    <row r="28" spans="1:14" x14ac:dyDescent="0.2">
      <c r="A28" s="1" t="s">
        <v>27</v>
      </c>
      <c r="B28" s="10">
        <f t="shared" ref="B28:N28" si="10">B693+B716</f>
        <v>10826.369999999999</v>
      </c>
      <c r="C28" s="10">
        <f t="shared" si="10"/>
        <v>6719.25</v>
      </c>
      <c r="D28" s="10">
        <f t="shared" si="10"/>
        <v>10451.620000000001</v>
      </c>
      <c r="E28" s="10">
        <f t="shared" si="10"/>
        <v>10881.22</v>
      </c>
      <c r="F28" s="10">
        <f t="shared" si="10"/>
        <v>11654.179999999998</v>
      </c>
      <c r="G28" s="10">
        <f t="shared" si="10"/>
        <v>9251.24</v>
      </c>
      <c r="H28" s="10">
        <f t="shared" si="10"/>
        <v>14486.39</v>
      </c>
      <c r="I28" s="10">
        <f t="shared" si="10"/>
        <v>11426.6</v>
      </c>
      <c r="J28" s="10">
        <f t="shared" si="10"/>
        <v>11050.759999999998</v>
      </c>
      <c r="K28" s="10">
        <f t="shared" si="10"/>
        <v>5522.25</v>
      </c>
      <c r="L28" s="10">
        <f t="shared" si="10"/>
        <v>6123</v>
      </c>
      <c r="M28" s="10">
        <f t="shared" si="10"/>
        <v>10192.77</v>
      </c>
      <c r="N28" s="10">
        <f t="shared" si="10"/>
        <v>118585.65</v>
      </c>
    </row>
    <row r="29" spans="1:14" ht="4.95" customHeight="1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 ht="4.95" customHeight="1" x14ac:dyDescent="0.2"/>
    <row r="31" spans="1:14" x14ac:dyDescent="0.2">
      <c r="A31" s="7" t="s">
        <v>31</v>
      </c>
      <c r="B31" s="9">
        <f t="shared" ref="B31:N31" si="11">B26+B27+B28</f>
        <v>354635.9</v>
      </c>
      <c r="C31" s="9">
        <f t="shared" si="11"/>
        <v>403035.16000000003</v>
      </c>
      <c r="D31" s="9">
        <f t="shared" si="11"/>
        <v>455103.4</v>
      </c>
      <c r="E31" s="9">
        <f t="shared" si="11"/>
        <v>419871.28999999992</v>
      </c>
      <c r="F31" s="9">
        <f t="shared" si="11"/>
        <v>409367.49</v>
      </c>
      <c r="G31" s="9">
        <f t="shared" si="11"/>
        <v>336484.17999999993</v>
      </c>
      <c r="H31" s="9">
        <f t="shared" si="11"/>
        <v>374295.83</v>
      </c>
      <c r="I31" s="9">
        <f t="shared" si="11"/>
        <v>404410.99</v>
      </c>
      <c r="J31" s="9">
        <f t="shared" si="11"/>
        <v>408130.14</v>
      </c>
      <c r="K31" s="9">
        <f t="shared" si="11"/>
        <v>457409.14999999997</v>
      </c>
      <c r="L31" s="9">
        <f t="shared" si="11"/>
        <v>419236.7</v>
      </c>
      <c r="M31" s="9">
        <f t="shared" si="11"/>
        <v>357130.5</v>
      </c>
      <c r="N31" s="9">
        <f t="shared" si="11"/>
        <v>4799110.7300000004</v>
      </c>
    </row>
    <row r="32" spans="1:14" ht="4.95" customHeight="1" x14ac:dyDescent="0.2"/>
    <row r="33" spans="1:14" x14ac:dyDescent="0.2">
      <c r="A33" s="1" t="s">
        <v>25</v>
      </c>
      <c r="B33" s="10">
        <f t="shared" ref="B33:M33" si="12">B17-B26</f>
        <v>481196.15</v>
      </c>
      <c r="C33" s="10">
        <f t="shared" si="12"/>
        <v>844371.88000000012</v>
      </c>
      <c r="D33" s="10">
        <f t="shared" si="12"/>
        <v>1051678.32</v>
      </c>
      <c r="E33" s="10">
        <f t="shared" si="12"/>
        <v>831179.89000000013</v>
      </c>
      <c r="F33" s="10">
        <f t="shared" si="12"/>
        <v>802136.85999999987</v>
      </c>
      <c r="G33" s="10">
        <f t="shared" si="12"/>
        <v>699614.45000000007</v>
      </c>
      <c r="H33" s="10">
        <f t="shared" si="12"/>
        <v>502419.27</v>
      </c>
      <c r="I33" s="10">
        <f t="shared" si="12"/>
        <v>530118.83000000007</v>
      </c>
      <c r="J33" s="10">
        <f t="shared" si="12"/>
        <v>592422.50000000012</v>
      </c>
      <c r="K33" s="10">
        <f t="shared" si="12"/>
        <v>684257.44</v>
      </c>
      <c r="L33" s="10">
        <f t="shared" si="12"/>
        <v>687358.57</v>
      </c>
      <c r="M33" s="10">
        <f t="shared" si="12"/>
        <v>406430.04000000004</v>
      </c>
      <c r="N33" s="10">
        <f>B33+C33+D33+E33+F33+G33+H33+I33+J33+K33+L33+M33</f>
        <v>8113184.2000000002</v>
      </c>
    </row>
    <row r="34" spans="1:14" x14ac:dyDescent="0.2">
      <c r="A34" s="1" t="s">
        <v>26</v>
      </c>
      <c r="B34" s="10">
        <f t="shared" ref="B34:M34" si="13">B18-B27</f>
        <v>28271.53</v>
      </c>
      <c r="C34" s="10">
        <f t="shared" si="13"/>
        <v>176267.90999999992</v>
      </c>
      <c r="D34" s="10">
        <f t="shared" si="13"/>
        <v>155030</v>
      </c>
      <c r="E34" s="10">
        <f t="shared" si="13"/>
        <v>172538.92999999996</v>
      </c>
      <c r="F34" s="10">
        <f t="shared" si="13"/>
        <v>55024.929999999993</v>
      </c>
      <c r="G34" s="10">
        <f t="shared" si="13"/>
        <v>44702.97</v>
      </c>
      <c r="H34" s="10">
        <f t="shared" si="13"/>
        <v>38554.299999999974</v>
      </c>
      <c r="I34" s="10">
        <f t="shared" si="13"/>
        <v>56964.439999999973</v>
      </c>
      <c r="J34" s="10">
        <f t="shared" si="13"/>
        <v>110012.81</v>
      </c>
      <c r="K34" s="10">
        <f t="shared" si="13"/>
        <v>193061.24000000005</v>
      </c>
      <c r="L34" s="10">
        <f t="shared" si="13"/>
        <v>225688.04</v>
      </c>
      <c r="M34" s="10">
        <f t="shared" si="13"/>
        <v>56425.409999999974</v>
      </c>
      <c r="N34" s="10">
        <f>B34+C34+D34+E34+F34+G34+H34+I34+J34+K34+L34+M34</f>
        <v>1312542.5099999995</v>
      </c>
    </row>
    <row r="35" spans="1:14" x14ac:dyDescent="0.2">
      <c r="A35" s="1" t="s">
        <v>27</v>
      </c>
      <c r="B35" s="10">
        <f t="shared" ref="B35:M35" si="14">B19-B28</f>
        <v>70037.740000000005</v>
      </c>
      <c r="C35" s="10">
        <f t="shared" si="14"/>
        <v>113689.43000000001</v>
      </c>
      <c r="D35" s="10">
        <f t="shared" si="14"/>
        <v>143517.57</v>
      </c>
      <c r="E35" s="10">
        <f t="shared" si="14"/>
        <v>95400.31</v>
      </c>
      <c r="F35" s="10">
        <f t="shared" si="14"/>
        <v>133413.68000000002</v>
      </c>
      <c r="G35" s="10">
        <f t="shared" si="14"/>
        <v>127170.90000000001</v>
      </c>
      <c r="H35" s="10">
        <f t="shared" si="14"/>
        <v>149498.65999999997</v>
      </c>
      <c r="I35" s="10">
        <f t="shared" si="14"/>
        <v>137750.82</v>
      </c>
      <c r="J35" s="10">
        <f t="shared" si="14"/>
        <v>99807.650000000009</v>
      </c>
      <c r="K35" s="10">
        <f t="shared" si="14"/>
        <v>106614.25</v>
      </c>
      <c r="L35" s="10">
        <f t="shared" si="14"/>
        <v>57738.18</v>
      </c>
      <c r="M35" s="10">
        <f t="shared" si="14"/>
        <v>74827.37</v>
      </c>
      <c r="N35" s="10">
        <f>B35+C35+D35+E35+F35+G35+H35+I35+J35+K35+L35+M35</f>
        <v>1309466.56</v>
      </c>
    </row>
    <row r="36" spans="1:14" x14ac:dyDescent="0.2">
      <c r="A36" s="1" t="s">
        <v>28</v>
      </c>
      <c r="B36" s="10">
        <v>909.32</v>
      </c>
      <c r="C36" s="10">
        <v>437.62</v>
      </c>
      <c r="D36" s="10">
        <v>8379.2900000000009</v>
      </c>
      <c r="E36" s="10">
        <v>1055.6199999999999</v>
      </c>
      <c r="F36" s="10">
        <v>147.58000000000001</v>
      </c>
      <c r="G36" s="10">
        <v>2352.15</v>
      </c>
      <c r="H36" s="10">
        <v>3329.9</v>
      </c>
      <c r="I36" s="10">
        <v>1278.69</v>
      </c>
      <c r="J36" s="10">
        <v>341.33</v>
      </c>
      <c r="K36" s="10">
        <v>457.91</v>
      </c>
      <c r="L36" s="10">
        <v>-636.91999999999996</v>
      </c>
      <c r="M36" s="10">
        <v>7817.98</v>
      </c>
      <c r="N36" s="10">
        <f>B36+C36+D36+E36+F36+G36+H36+I36+J36+K36+L36+M36</f>
        <v>25870.470000000005</v>
      </c>
    </row>
    <row r="37" spans="1:14" x14ac:dyDescent="0.2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 ht="4.95" customHeight="1" x14ac:dyDescent="0.2"/>
    <row r="39" spans="1:14" x14ac:dyDescent="0.2">
      <c r="A39" s="7" t="s">
        <v>32</v>
      </c>
      <c r="B39" s="9">
        <f t="shared" ref="B39:N39" si="15">B33+B34+B35+B36</f>
        <v>580414.74</v>
      </c>
      <c r="C39" s="9">
        <f t="shared" si="15"/>
        <v>1134766.8400000001</v>
      </c>
      <c r="D39" s="9">
        <f t="shared" si="15"/>
        <v>1358605.1800000002</v>
      </c>
      <c r="E39" s="9">
        <f t="shared" si="15"/>
        <v>1100174.7500000002</v>
      </c>
      <c r="F39" s="9">
        <f t="shared" si="15"/>
        <v>990723.04999999981</v>
      </c>
      <c r="G39" s="9">
        <f t="shared" si="15"/>
        <v>873840.47000000009</v>
      </c>
      <c r="H39" s="9">
        <f t="shared" si="15"/>
        <v>693802.13</v>
      </c>
      <c r="I39" s="9">
        <f t="shared" si="15"/>
        <v>726112.78</v>
      </c>
      <c r="J39" s="9">
        <f t="shared" si="15"/>
        <v>802584.29</v>
      </c>
      <c r="K39" s="9">
        <f t="shared" si="15"/>
        <v>984390.84</v>
      </c>
      <c r="L39" s="9">
        <f t="shared" si="15"/>
        <v>970147.87</v>
      </c>
      <c r="M39" s="9">
        <f t="shared" si="15"/>
        <v>545500.80000000005</v>
      </c>
      <c r="N39" s="9">
        <f t="shared" si="15"/>
        <v>10761063.74</v>
      </c>
    </row>
    <row r="40" spans="1:14" ht="4.95" customHeight="1" x14ac:dyDescent="0.2"/>
    <row r="41" spans="1:14" x14ac:dyDescent="0.2">
      <c r="A41" s="7" t="s">
        <v>33</v>
      </c>
    </row>
    <row r="42" spans="1:14" x14ac:dyDescent="0.2">
      <c r="A42" s="1" t="s">
        <v>34</v>
      </c>
      <c r="B42" s="10">
        <f t="shared" ref="B42:N42" si="16">B808</f>
        <v>74919.06</v>
      </c>
      <c r="C42" s="10">
        <f t="shared" si="16"/>
        <v>83744.860000000015</v>
      </c>
      <c r="D42" s="10">
        <f t="shared" si="16"/>
        <v>103834.72</v>
      </c>
      <c r="E42" s="10">
        <f t="shared" si="16"/>
        <v>123878.84</v>
      </c>
      <c r="F42" s="10">
        <f t="shared" si="16"/>
        <v>87441.77</v>
      </c>
      <c r="G42" s="10">
        <f t="shared" si="16"/>
        <v>52057.36</v>
      </c>
      <c r="H42" s="10">
        <f t="shared" si="16"/>
        <v>109938.47</v>
      </c>
      <c r="I42" s="10">
        <f t="shared" si="16"/>
        <v>82435.81</v>
      </c>
      <c r="J42" s="10">
        <f t="shared" si="16"/>
        <v>102336.85</v>
      </c>
      <c r="K42" s="10">
        <f t="shared" si="16"/>
        <v>81059.62</v>
      </c>
      <c r="L42" s="10">
        <f t="shared" si="16"/>
        <v>80996.75</v>
      </c>
      <c r="M42" s="10">
        <f t="shared" si="16"/>
        <v>77021.22</v>
      </c>
      <c r="N42" s="10">
        <f t="shared" si="16"/>
        <v>1059665.33</v>
      </c>
    </row>
    <row r="43" spans="1:14" x14ac:dyDescent="0.2">
      <c r="A43" s="1" t="s">
        <v>35</v>
      </c>
      <c r="B43" s="10">
        <f t="shared" ref="B43:N43" si="17">B849</f>
        <v>9594.6699999999983</v>
      </c>
      <c r="C43" s="10">
        <f t="shared" si="17"/>
        <v>9441.64</v>
      </c>
      <c r="D43" s="10">
        <f t="shared" si="17"/>
        <v>9562.869999999999</v>
      </c>
      <c r="E43" s="10">
        <f t="shared" si="17"/>
        <v>9608.130000000001</v>
      </c>
      <c r="F43" s="10">
        <f t="shared" si="17"/>
        <v>9253.11</v>
      </c>
      <c r="G43" s="10">
        <f t="shared" si="17"/>
        <v>11175.380000000001</v>
      </c>
      <c r="H43" s="10">
        <f t="shared" si="17"/>
        <v>8957.14</v>
      </c>
      <c r="I43" s="10">
        <f t="shared" si="17"/>
        <v>11300.619999999999</v>
      </c>
      <c r="J43" s="10">
        <f t="shared" si="17"/>
        <v>8625.89</v>
      </c>
      <c r="K43" s="10">
        <f t="shared" si="17"/>
        <v>16145.09</v>
      </c>
      <c r="L43" s="10">
        <f t="shared" si="17"/>
        <v>8446.9599999999991</v>
      </c>
      <c r="M43" s="10">
        <f t="shared" si="17"/>
        <v>13398.08</v>
      </c>
      <c r="N43" s="10">
        <f t="shared" si="17"/>
        <v>125509.57999999999</v>
      </c>
    </row>
    <row r="44" spans="1:14" x14ac:dyDescent="0.2">
      <c r="A44" s="1" t="s">
        <v>36</v>
      </c>
      <c r="B44" s="10">
        <f t="shared" ref="B44:N44" si="18">B900</f>
        <v>42235.06</v>
      </c>
      <c r="C44" s="10">
        <f t="shared" si="18"/>
        <v>44280.979999999996</v>
      </c>
      <c r="D44" s="10">
        <f t="shared" si="18"/>
        <v>51749.06</v>
      </c>
      <c r="E44" s="10">
        <f t="shared" si="18"/>
        <v>60858.130000000005</v>
      </c>
      <c r="F44" s="10">
        <f t="shared" si="18"/>
        <v>48709.049999999988</v>
      </c>
      <c r="G44" s="10">
        <f t="shared" si="18"/>
        <v>51348.24</v>
      </c>
      <c r="H44" s="10">
        <f t="shared" si="18"/>
        <v>47915.69</v>
      </c>
      <c r="I44" s="10">
        <f t="shared" si="18"/>
        <v>47822.61</v>
      </c>
      <c r="J44" s="10">
        <f t="shared" si="18"/>
        <v>59338.990000000005</v>
      </c>
      <c r="K44" s="10">
        <f t="shared" si="18"/>
        <v>61807.66</v>
      </c>
      <c r="L44" s="10">
        <f t="shared" si="18"/>
        <v>57831.97</v>
      </c>
      <c r="M44" s="10">
        <f t="shared" si="18"/>
        <v>43734.83</v>
      </c>
      <c r="N44" s="10">
        <f t="shared" si="18"/>
        <v>617632.27</v>
      </c>
    </row>
    <row r="45" spans="1:14" x14ac:dyDescent="0.2">
      <c r="A45" s="1" t="s">
        <v>37</v>
      </c>
      <c r="B45" s="10">
        <f t="shared" ref="B45:N45" si="19">B914</f>
        <v>104407.95</v>
      </c>
      <c r="C45" s="10">
        <f t="shared" si="19"/>
        <v>157296.08000000002</v>
      </c>
      <c r="D45" s="10">
        <f t="shared" si="19"/>
        <v>202221.27</v>
      </c>
      <c r="E45" s="10">
        <f t="shared" si="19"/>
        <v>139557.56</v>
      </c>
      <c r="F45" s="10">
        <f t="shared" si="19"/>
        <v>155378.82</v>
      </c>
      <c r="G45" s="10">
        <f t="shared" si="19"/>
        <v>156969.43</v>
      </c>
      <c r="H45" s="10">
        <f t="shared" si="19"/>
        <v>118750.58</v>
      </c>
      <c r="I45" s="10">
        <f t="shared" si="19"/>
        <v>127388.35</v>
      </c>
      <c r="J45" s="10">
        <f t="shared" si="19"/>
        <v>128506.15000000001</v>
      </c>
      <c r="K45" s="10">
        <f t="shared" si="19"/>
        <v>130897.12</v>
      </c>
      <c r="L45" s="10">
        <f t="shared" si="19"/>
        <v>144452.72</v>
      </c>
      <c r="M45" s="10">
        <f t="shared" si="19"/>
        <v>95340.78</v>
      </c>
      <c r="N45" s="10">
        <f t="shared" si="19"/>
        <v>1661166.81</v>
      </c>
    </row>
    <row r="46" spans="1:14" x14ac:dyDescent="0.2">
      <c r="A46" s="1" t="s">
        <v>38</v>
      </c>
      <c r="B46" s="10">
        <f t="shared" ref="B46:N46" si="20">B983</f>
        <v>84784.049999999988</v>
      </c>
      <c r="C46" s="10">
        <f t="shared" si="20"/>
        <v>77582.26999999999</v>
      </c>
      <c r="D46" s="10">
        <f t="shared" si="20"/>
        <v>82363.3</v>
      </c>
      <c r="E46" s="10">
        <f t="shared" si="20"/>
        <v>91711.709999999992</v>
      </c>
      <c r="F46" s="10">
        <f t="shared" si="20"/>
        <v>75082.850000000006</v>
      </c>
      <c r="G46" s="10">
        <f t="shared" si="20"/>
        <v>74331.39</v>
      </c>
      <c r="H46" s="10">
        <f t="shared" si="20"/>
        <v>71155.16</v>
      </c>
      <c r="I46" s="10">
        <f t="shared" si="20"/>
        <v>85883</v>
      </c>
      <c r="J46" s="10">
        <f t="shared" si="20"/>
        <v>90011.08</v>
      </c>
      <c r="K46" s="10">
        <f t="shared" si="20"/>
        <v>79254.459999999992</v>
      </c>
      <c r="L46" s="10">
        <f t="shared" si="20"/>
        <v>68682.25</v>
      </c>
      <c r="M46" s="10">
        <f t="shared" si="20"/>
        <v>53482.01</v>
      </c>
      <c r="N46" s="10">
        <f t="shared" si="20"/>
        <v>934323.53</v>
      </c>
    </row>
    <row r="47" spans="1:14" x14ac:dyDescent="0.2">
      <c r="A47" s="1" t="s">
        <v>39</v>
      </c>
      <c r="B47" s="10">
        <f t="shared" ref="B47:N47" si="21">B998</f>
        <v>86727.13</v>
      </c>
      <c r="C47" s="10">
        <f t="shared" si="21"/>
        <v>83018.34</v>
      </c>
      <c r="D47" s="10">
        <f t="shared" si="21"/>
        <v>91063.5</v>
      </c>
      <c r="E47" s="10">
        <f t="shared" si="21"/>
        <v>111079.02</v>
      </c>
      <c r="F47" s="10">
        <f t="shared" si="21"/>
        <v>121723.11</v>
      </c>
      <c r="G47" s="10">
        <f t="shared" si="21"/>
        <v>146339.16000000003</v>
      </c>
      <c r="H47" s="10">
        <f t="shared" si="21"/>
        <v>154529.34</v>
      </c>
      <c r="I47" s="10">
        <f t="shared" si="21"/>
        <v>164343.53999999998</v>
      </c>
      <c r="J47" s="10">
        <f t="shared" si="21"/>
        <v>156661.9</v>
      </c>
      <c r="K47" s="10">
        <f t="shared" si="21"/>
        <v>148900.03</v>
      </c>
      <c r="L47" s="10">
        <f t="shared" si="21"/>
        <v>142101.98000000001</v>
      </c>
      <c r="M47" s="10">
        <f t="shared" si="21"/>
        <v>111502.23000000001</v>
      </c>
      <c r="N47" s="10">
        <f t="shared" si="21"/>
        <v>1517989.28</v>
      </c>
    </row>
    <row r="48" spans="1:14" ht="4.95" customHeight="1" x14ac:dyDescent="0.2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ht="4.95" customHeight="1" x14ac:dyDescent="0.2"/>
    <row r="50" spans="1:14" x14ac:dyDescent="0.2">
      <c r="A50" s="7" t="s">
        <v>40</v>
      </c>
      <c r="B50" s="9">
        <f t="shared" ref="B50:N50" si="22">SUM(B42:B47)</f>
        <v>402667.92</v>
      </c>
      <c r="C50" s="9">
        <f t="shared" si="22"/>
        <v>455364.17000000004</v>
      </c>
      <c r="D50" s="9">
        <f t="shared" si="22"/>
        <v>540794.72</v>
      </c>
      <c r="E50" s="9">
        <f t="shared" si="22"/>
        <v>536693.39</v>
      </c>
      <c r="F50" s="9">
        <f t="shared" si="22"/>
        <v>497588.70999999996</v>
      </c>
      <c r="G50" s="9">
        <f t="shared" si="22"/>
        <v>492220.96000000008</v>
      </c>
      <c r="H50" s="9">
        <f t="shared" si="22"/>
        <v>511246.38</v>
      </c>
      <c r="I50" s="9">
        <f t="shared" si="22"/>
        <v>519173.93</v>
      </c>
      <c r="J50" s="9">
        <f t="shared" si="22"/>
        <v>545480.86</v>
      </c>
      <c r="K50" s="9">
        <f t="shared" si="22"/>
        <v>518063.98</v>
      </c>
      <c r="L50" s="9">
        <f t="shared" si="22"/>
        <v>502512.63</v>
      </c>
      <c r="M50" s="9">
        <f t="shared" si="22"/>
        <v>394479.15</v>
      </c>
      <c r="N50" s="9">
        <f t="shared" si="22"/>
        <v>5916286.8000000007</v>
      </c>
    </row>
    <row r="51" spans="1:14" ht="4.95" customHeight="1" x14ac:dyDescent="0.2"/>
    <row r="52" spans="1:14" x14ac:dyDescent="0.2">
      <c r="A52" s="7" t="s">
        <v>41</v>
      </c>
      <c r="B52" s="9">
        <f t="shared" ref="B52:N52" si="23">B39-B50</f>
        <v>177746.82</v>
      </c>
      <c r="C52" s="9">
        <f t="shared" si="23"/>
        <v>679402.67</v>
      </c>
      <c r="D52" s="9">
        <f t="shared" si="23"/>
        <v>817810.4600000002</v>
      </c>
      <c r="E52" s="9">
        <f t="shared" si="23"/>
        <v>563481.36000000022</v>
      </c>
      <c r="F52" s="9">
        <f t="shared" si="23"/>
        <v>493134.33999999985</v>
      </c>
      <c r="G52" s="9">
        <f t="shared" si="23"/>
        <v>381619.51</v>
      </c>
      <c r="H52" s="9">
        <f t="shared" si="23"/>
        <v>182555.75</v>
      </c>
      <c r="I52" s="9">
        <f t="shared" si="23"/>
        <v>206938.85000000003</v>
      </c>
      <c r="J52" s="9">
        <f t="shared" si="23"/>
        <v>257103.43000000005</v>
      </c>
      <c r="K52" s="9">
        <f t="shared" si="23"/>
        <v>466326.86</v>
      </c>
      <c r="L52" s="9">
        <f t="shared" si="23"/>
        <v>467635.24</v>
      </c>
      <c r="M52" s="9">
        <f t="shared" si="23"/>
        <v>151021.65000000002</v>
      </c>
      <c r="N52" s="9">
        <f t="shared" si="23"/>
        <v>4844776.9399999995</v>
      </c>
    </row>
    <row r="53" spans="1:14" ht="4.95" customHeight="1" x14ac:dyDescent="0.2"/>
    <row r="54" spans="1:14" x14ac:dyDescent="0.2">
      <c r="A54" s="7" t="s">
        <v>42</v>
      </c>
      <c r="B54" s="13">
        <f t="shared" ref="B54:N54" si="24">IF((B23+B1)=0,0,B52/(B23+B1))</f>
        <v>0.19009325527011028</v>
      </c>
      <c r="C54" s="13">
        <f t="shared" si="24"/>
        <v>0.44180113564685175</v>
      </c>
      <c r="D54" s="13">
        <f t="shared" si="24"/>
        <v>0.4509051062657487</v>
      </c>
      <c r="E54" s="13">
        <f t="shared" si="24"/>
        <v>0.37070019273889898</v>
      </c>
      <c r="F54" s="13">
        <f t="shared" si="24"/>
        <v>0.35221603597150214</v>
      </c>
      <c r="G54" s="13">
        <f t="shared" si="24"/>
        <v>0.31530342705983888</v>
      </c>
      <c r="H54" s="13">
        <f t="shared" si="24"/>
        <v>0.17091667322349346</v>
      </c>
      <c r="I54" s="13">
        <f t="shared" si="24"/>
        <v>0.18304688100454539</v>
      </c>
      <c r="J54" s="13">
        <f t="shared" si="24"/>
        <v>0.21235679003181618</v>
      </c>
      <c r="K54" s="13">
        <f t="shared" si="24"/>
        <v>0.32343380720927872</v>
      </c>
      <c r="L54" s="13">
        <f t="shared" si="24"/>
        <v>0.33657725161004198</v>
      </c>
      <c r="M54" s="13">
        <f t="shared" si="24"/>
        <v>0.16731266686630525</v>
      </c>
      <c r="N54" s="13">
        <f t="shared" si="24"/>
        <v>0.31135749469523771</v>
      </c>
    </row>
    <row r="55" spans="1:14" ht="4.95" customHeight="1" x14ac:dyDescent="0.2"/>
    <row r="56" spans="1:14" x14ac:dyDescent="0.2">
      <c r="A56" s="7" t="s">
        <v>43</v>
      </c>
    </row>
    <row r="57" spans="1:14" x14ac:dyDescent="0.2">
      <c r="A57" s="1" t="s">
        <v>44</v>
      </c>
      <c r="B57" s="10">
        <f t="shared" ref="B57:N57" si="25">B1018</f>
        <v>1815.1</v>
      </c>
      <c r="C57" s="10">
        <f t="shared" si="25"/>
        <v>1194.72</v>
      </c>
      <c r="D57" s="10">
        <f t="shared" si="25"/>
        <v>21589.33</v>
      </c>
      <c r="E57" s="10">
        <f t="shared" si="25"/>
        <v>1586.6999999999998</v>
      </c>
      <c r="F57" s="10">
        <f t="shared" si="25"/>
        <v>1194.72</v>
      </c>
      <c r="G57" s="10">
        <f t="shared" si="25"/>
        <v>27372.35</v>
      </c>
      <c r="H57" s="10">
        <f t="shared" si="25"/>
        <v>1632.09</v>
      </c>
      <c r="I57" s="10">
        <f t="shared" si="25"/>
        <v>1194.72</v>
      </c>
      <c r="J57" s="10">
        <f t="shared" si="25"/>
        <v>30999.439999999999</v>
      </c>
      <c r="K57" s="10">
        <f t="shared" si="25"/>
        <v>1627.2399999999998</v>
      </c>
      <c r="L57" s="10">
        <f t="shared" si="25"/>
        <v>1194.72</v>
      </c>
      <c r="M57" s="10">
        <f t="shared" si="25"/>
        <v>21088.75</v>
      </c>
      <c r="N57" s="10">
        <f t="shared" si="25"/>
        <v>112489.88</v>
      </c>
    </row>
    <row r="58" spans="1:14" x14ac:dyDescent="0.2">
      <c r="A58" s="1" t="s">
        <v>43</v>
      </c>
      <c r="B58" s="10">
        <f t="shared" ref="B58:N58" si="26">B1030</f>
        <v>29983.3</v>
      </c>
      <c r="C58" s="10">
        <f t="shared" si="26"/>
        <v>46508.77</v>
      </c>
      <c r="D58" s="10">
        <f t="shared" si="26"/>
        <v>55571.93</v>
      </c>
      <c r="E58" s="10">
        <f t="shared" si="26"/>
        <v>46983.77</v>
      </c>
      <c r="F58" s="10">
        <f t="shared" si="26"/>
        <v>42234.239999999998</v>
      </c>
      <c r="G58" s="10">
        <f t="shared" si="26"/>
        <v>37298.28</v>
      </c>
      <c r="H58" s="10">
        <f t="shared" si="26"/>
        <v>32403.11</v>
      </c>
      <c r="I58" s="10">
        <f t="shared" si="26"/>
        <v>34636.22</v>
      </c>
      <c r="J58" s="10">
        <f t="shared" si="26"/>
        <v>37085.47</v>
      </c>
      <c r="K58" s="10">
        <f t="shared" si="26"/>
        <v>45118.35</v>
      </c>
      <c r="L58" s="10">
        <f t="shared" si="26"/>
        <v>42829.25</v>
      </c>
      <c r="M58" s="10">
        <f t="shared" si="26"/>
        <v>27640.54</v>
      </c>
      <c r="N58" s="10">
        <f t="shared" si="26"/>
        <v>478293.22999999992</v>
      </c>
    </row>
    <row r="59" spans="1:14" ht="4.95" customHeight="1" x14ac:dyDescent="0.2"/>
    <row r="60" spans="1:14" x14ac:dyDescent="0.2">
      <c r="A60" s="7" t="s">
        <v>45</v>
      </c>
      <c r="B60" s="9">
        <f t="shared" ref="B60:N60" si="27">SUM(B57:B58)</f>
        <v>31798.399999999998</v>
      </c>
      <c r="C60" s="9">
        <f t="shared" si="27"/>
        <v>47703.49</v>
      </c>
      <c r="D60" s="9">
        <f t="shared" si="27"/>
        <v>77161.260000000009</v>
      </c>
      <c r="E60" s="9">
        <f t="shared" si="27"/>
        <v>48570.469999999994</v>
      </c>
      <c r="F60" s="9">
        <f t="shared" si="27"/>
        <v>43428.959999999999</v>
      </c>
      <c r="G60" s="9">
        <f t="shared" si="27"/>
        <v>64670.63</v>
      </c>
      <c r="H60" s="9">
        <f t="shared" si="27"/>
        <v>34035.199999999997</v>
      </c>
      <c r="I60" s="9">
        <f t="shared" si="27"/>
        <v>35830.94</v>
      </c>
      <c r="J60" s="9">
        <f t="shared" si="27"/>
        <v>68084.91</v>
      </c>
      <c r="K60" s="9">
        <f t="shared" si="27"/>
        <v>46745.59</v>
      </c>
      <c r="L60" s="9">
        <f t="shared" si="27"/>
        <v>44023.97</v>
      </c>
      <c r="M60" s="9">
        <f t="shared" si="27"/>
        <v>48729.29</v>
      </c>
      <c r="N60" s="9">
        <f t="shared" si="27"/>
        <v>590783.10999999987</v>
      </c>
    </row>
    <row r="61" spans="1:14" ht="4.95" customHeight="1" x14ac:dyDescent="0.2"/>
    <row r="62" spans="1:14" x14ac:dyDescent="0.2">
      <c r="A62" s="7" t="s">
        <v>46</v>
      </c>
      <c r="B62" s="9">
        <f t="shared" ref="B62:N62" si="28">B52-B57-B58</f>
        <v>145948.42000000001</v>
      </c>
      <c r="C62" s="9">
        <f t="shared" si="28"/>
        <v>631699.18000000005</v>
      </c>
      <c r="D62" s="9">
        <f t="shared" si="28"/>
        <v>740649.20000000019</v>
      </c>
      <c r="E62" s="9">
        <f t="shared" si="28"/>
        <v>514910.89000000025</v>
      </c>
      <c r="F62" s="9">
        <f t="shared" si="28"/>
        <v>449705.37999999989</v>
      </c>
      <c r="G62" s="9">
        <f t="shared" si="28"/>
        <v>316948.88</v>
      </c>
      <c r="H62" s="9">
        <f t="shared" si="28"/>
        <v>148520.54999999999</v>
      </c>
      <c r="I62" s="9">
        <f t="shared" si="28"/>
        <v>171107.91000000003</v>
      </c>
      <c r="J62" s="9">
        <f t="shared" si="28"/>
        <v>189018.52000000005</v>
      </c>
      <c r="K62" s="9">
        <f t="shared" si="28"/>
        <v>419581.27</v>
      </c>
      <c r="L62" s="9">
        <f t="shared" si="28"/>
        <v>423611.27</v>
      </c>
      <c r="M62" s="9">
        <f t="shared" si="28"/>
        <v>102292.36000000002</v>
      </c>
      <c r="N62" s="9">
        <f t="shared" si="28"/>
        <v>4253993.83</v>
      </c>
    </row>
    <row r="63" spans="1:14" ht="4.95" customHeight="1" x14ac:dyDescent="0.2"/>
    <row r="64" spans="1:14" x14ac:dyDescent="0.2">
      <c r="A64" s="7" t="s">
        <v>47</v>
      </c>
    </row>
    <row r="65" spans="1:14" x14ac:dyDescent="0.2">
      <c r="A65" s="1" t="s">
        <v>48</v>
      </c>
      <c r="B65" s="10">
        <f t="shared" ref="B65:N65" si="29">B1042</f>
        <v>49014.85</v>
      </c>
      <c r="C65" s="10">
        <f t="shared" si="29"/>
        <v>49014.85</v>
      </c>
      <c r="D65" s="10">
        <f t="shared" si="29"/>
        <v>49014.85</v>
      </c>
      <c r="E65" s="10">
        <f t="shared" si="29"/>
        <v>49014.85</v>
      </c>
      <c r="F65" s="10">
        <f t="shared" si="29"/>
        <v>54782.869999999995</v>
      </c>
      <c r="G65" s="10">
        <f t="shared" si="29"/>
        <v>50168.42</v>
      </c>
      <c r="H65" s="10">
        <f t="shared" si="29"/>
        <v>50168.42</v>
      </c>
      <c r="I65" s="10">
        <f t="shared" si="29"/>
        <v>50168.42</v>
      </c>
      <c r="J65" s="10">
        <f t="shared" si="29"/>
        <v>50168.42</v>
      </c>
      <c r="K65" s="10">
        <f t="shared" si="29"/>
        <v>75443.47</v>
      </c>
      <c r="L65" s="10">
        <f t="shared" si="29"/>
        <v>75443.47</v>
      </c>
      <c r="M65" s="10">
        <f t="shared" si="29"/>
        <v>-14556.53</v>
      </c>
      <c r="N65" s="10">
        <f t="shared" si="29"/>
        <v>587846.3600000001</v>
      </c>
    </row>
    <row r="66" spans="1:14" x14ac:dyDescent="0.2">
      <c r="A66" s="1" t="s">
        <v>49</v>
      </c>
      <c r="B66" s="10">
        <f t="shared" ref="B66:N66" si="30">B1056</f>
        <v>23478.48</v>
      </c>
      <c r="C66" s="10">
        <f t="shared" si="30"/>
        <v>23478.48</v>
      </c>
      <c r="D66" s="10">
        <f t="shared" si="30"/>
        <v>32426.92</v>
      </c>
      <c r="E66" s="10">
        <f t="shared" si="30"/>
        <v>24472.75</v>
      </c>
      <c r="F66" s="10">
        <f t="shared" si="30"/>
        <v>24472.75</v>
      </c>
      <c r="G66" s="10">
        <f t="shared" si="30"/>
        <v>24472.71</v>
      </c>
      <c r="H66" s="10">
        <f t="shared" si="30"/>
        <v>7160.56</v>
      </c>
      <c r="I66" s="10">
        <f t="shared" si="30"/>
        <v>38271.360000000001</v>
      </c>
      <c r="J66" s="10">
        <f t="shared" si="30"/>
        <v>25487.040000000001</v>
      </c>
      <c r="K66" s="10">
        <f t="shared" si="30"/>
        <v>23311.84</v>
      </c>
      <c r="L66" s="10">
        <f t="shared" si="30"/>
        <v>23511.84</v>
      </c>
      <c r="M66" s="10">
        <f t="shared" si="30"/>
        <v>-15467.12</v>
      </c>
      <c r="N66" s="10">
        <f t="shared" si="30"/>
        <v>255077.61000000002</v>
      </c>
    </row>
    <row r="67" spans="1:14" x14ac:dyDescent="0.2">
      <c r="A67" s="1" t="s">
        <v>50</v>
      </c>
      <c r="B67" s="10">
        <f t="shared" ref="B67:N67" si="31">B1068</f>
        <v>-384.36</v>
      </c>
      <c r="C67" s="10">
        <f t="shared" si="31"/>
        <v>0</v>
      </c>
      <c r="D67" s="10">
        <f t="shared" si="31"/>
        <v>-65330.51</v>
      </c>
      <c r="E67" s="10">
        <f t="shared" si="31"/>
        <v>-1504</v>
      </c>
      <c r="F67" s="10">
        <f t="shared" si="31"/>
        <v>0</v>
      </c>
      <c r="G67" s="10">
        <f t="shared" si="31"/>
        <v>0</v>
      </c>
      <c r="H67" s="10">
        <f t="shared" si="31"/>
        <v>0</v>
      </c>
      <c r="I67" s="10">
        <f t="shared" si="31"/>
        <v>0</v>
      </c>
      <c r="J67" s="10">
        <f t="shared" si="31"/>
        <v>-72.260000000000005</v>
      </c>
      <c r="K67" s="10">
        <f t="shared" si="31"/>
        <v>0</v>
      </c>
      <c r="L67" s="10">
        <f t="shared" si="31"/>
        <v>-63020.59</v>
      </c>
      <c r="M67" s="10">
        <f t="shared" si="31"/>
        <v>57703.74</v>
      </c>
      <c r="N67" s="10">
        <f t="shared" si="31"/>
        <v>-72607.98</v>
      </c>
    </row>
    <row r="68" spans="1:14" ht="4.95" customHeight="1" x14ac:dyDescent="0.2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 ht="4.95" customHeight="1" x14ac:dyDescent="0.2"/>
    <row r="70" spans="1:14" x14ac:dyDescent="0.2">
      <c r="A70" s="7" t="s">
        <v>51</v>
      </c>
      <c r="B70" s="9">
        <f t="shared" ref="B70:N70" si="32">SUM(B65:B67)</f>
        <v>72108.97</v>
      </c>
      <c r="C70" s="9">
        <f t="shared" si="32"/>
        <v>72493.33</v>
      </c>
      <c r="D70" s="9">
        <f t="shared" si="32"/>
        <v>16111.259999999987</v>
      </c>
      <c r="E70" s="9">
        <f t="shared" si="32"/>
        <v>71983.600000000006</v>
      </c>
      <c r="F70" s="9">
        <f t="shared" si="32"/>
        <v>79255.62</v>
      </c>
      <c r="G70" s="9">
        <f t="shared" si="32"/>
        <v>74641.13</v>
      </c>
      <c r="H70" s="9">
        <f t="shared" si="32"/>
        <v>57328.979999999996</v>
      </c>
      <c r="I70" s="9">
        <f t="shared" si="32"/>
        <v>88439.78</v>
      </c>
      <c r="J70" s="9">
        <f t="shared" si="32"/>
        <v>75583.199999999997</v>
      </c>
      <c r="K70" s="9">
        <f t="shared" si="32"/>
        <v>98755.31</v>
      </c>
      <c r="L70" s="9">
        <f t="shared" si="32"/>
        <v>35934.720000000001</v>
      </c>
      <c r="M70" s="9">
        <f t="shared" si="32"/>
        <v>27680.089999999997</v>
      </c>
      <c r="N70" s="9">
        <f t="shared" si="32"/>
        <v>770315.99000000011</v>
      </c>
    </row>
    <row r="71" spans="1:14" ht="4.95" customHeight="1" x14ac:dyDescent="0.2"/>
    <row r="72" spans="1:14" x14ac:dyDescent="0.2">
      <c r="A72" s="1" t="s">
        <v>52</v>
      </c>
      <c r="B72" s="10">
        <f t="shared" ref="B72:N72" si="33">B1078</f>
        <v>5935.47</v>
      </c>
      <c r="C72" s="10">
        <f t="shared" si="33"/>
        <v>5788.7</v>
      </c>
      <c r="D72" s="10">
        <f t="shared" si="33"/>
        <v>7917.14</v>
      </c>
      <c r="E72" s="10">
        <f t="shared" si="33"/>
        <v>8783.0300000000007</v>
      </c>
      <c r="F72" s="10">
        <f t="shared" si="33"/>
        <v>8370.82</v>
      </c>
      <c r="G72" s="10">
        <f t="shared" si="33"/>
        <v>7887.98</v>
      </c>
      <c r="H72" s="10">
        <f t="shared" si="33"/>
        <v>8249.93</v>
      </c>
      <c r="I72" s="10">
        <f t="shared" si="33"/>
        <v>3714.18</v>
      </c>
      <c r="J72" s="10">
        <f t="shared" si="33"/>
        <v>12165.39</v>
      </c>
      <c r="K72" s="10">
        <f t="shared" si="33"/>
        <v>6799.67</v>
      </c>
      <c r="L72" s="10">
        <f t="shared" si="33"/>
        <v>6632.77</v>
      </c>
      <c r="M72" s="10">
        <f t="shared" si="33"/>
        <v>283418.94999999995</v>
      </c>
      <c r="N72" s="10">
        <f t="shared" si="33"/>
        <v>365664.02999999997</v>
      </c>
    </row>
    <row r="73" spans="1:14" ht="4.95" customHeight="1" x14ac:dyDescent="0.2"/>
    <row r="74" spans="1:14" x14ac:dyDescent="0.2">
      <c r="A74" s="7" t="s">
        <v>53</v>
      </c>
      <c r="B74" s="9">
        <f t="shared" ref="B74:N74" si="34">B62-B70+B72</f>
        <v>79774.920000000013</v>
      </c>
      <c r="C74" s="9">
        <f t="shared" si="34"/>
        <v>564994.55000000005</v>
      </c>
      <c r="D74" s="9">
        <f t="shared" si="34"/>
        <v>732455.08000000019</v>
      </c>
      <c r="E74" s="9">
        <f t="shared" si="34"/>
        <v>451710.3200000003</v>
      </c>
      <c r="F74" s="9">
        <f t="shared" si="34"/>
        <v>378820.5799999999</v>
      </c>
      <c r="G74" s="9">
        <f t="shared" si="34"/>
        <v>250195.73</v>
      </c>
      <c r="H74" s="9">
        <f t="shared" si="34"/>
        <v>99441.5</v>
      </c>
      <c r="I74" s="9">
        <f t="shared" si="34"/>
        <v>86382.310000000027</v>
      </c>
      <c r="J74" s="9">
        <f t="shared" si="34"/>
        <v>125600.71000000005</v>
      </c>
      <c r="K74" s="9">
        <f t="shared" si="34"/>
        <v>327625.63</v>
      </c>
      <c r="L74" s="9">
        <f t="shared" si="34"/>
        <v>394309.32000000007</v>
      </c>
      <c r="M74" s="9">
        <f t="shared" si="34"/>
        <v>358031.22</v>
      </c>
      <c r="N74" s="9">
        <f t="shared" si="34"/>
        <v>3849341.8699999996</v>
      </c>
    </row>
    <row r="75" spans="1:14" ht="4.95" customHeight="1" x14ac:dyDescent="0.2"/>
    <row r="76" spans="1:14" x14ac:dyDescent="0.2">
      <c r="A76" s="7" t="s">
        <v>54</v>
      </c>
      <c r="B76" s="9">
        <f t="shared" ref="B76:N76" si="35">B62-B70+B72</f>
        <v>79774.920000000013</v>
      </c>
      <c r="C76" s="9">
        <f t="shared" si="35"/>
        <v>564994.55000000005</v>
      </c>
      <c r="D76" s="9">
        <f t="shared" si="35"/>
        <v>732455.08000000019</v>
      </c>
      <c r="E76" s="9">
        <f t="shared" si="35"/>
        <v>451710.3200000003</v>
      </c>
      <c r="F76" s="9">
        <f t="shared" si="35"/>
        <v>378820.5799999999</v>
      </c>
      <c r="G76" s="9">
        <f t="shared" si="35"/>
        <v>250195.73</v>
      </c>
      <c r="H76" s="9">
        <f t="shared" si="35"/>
        <v>99441.5</v>
      </c>
      <c r="I76" s="9">
        <f t="shared" si="35"/>
        <v>86382.310000000027</v>
      </c>
      <c r="J76" s="9">
        <f t="shared" si="35"/>
        <v>125600.71000000005</v>
      </c>
      <c r="K76" s="9">
        <f t="shared" si="35"/>
        <v>327625.63</v>
      </c>
      <c r="L76" s="9">
        <f t="shared" si="35"/>
        <v>394309.32000000007</v>
      </c>
      <c r="M76" s="9">
        <f t="shared" si="35"/>
        <v>358031.22</v>
      </c>
      <c r="N76" s="9">
        <f t="shared" si="35"/>
        <v>3849341.8699999996</v>
      </c>
    </row>
    <row r="77" spans="1:14" ht="4.95" customHeight="1" x14ac:dyDescent="0.2"/>
    <row r="78" spans="1:14" x14ac:dyDescent="0.2">
      <c r="A78" s="1" t="s">
        <v>55</v>
      </c>
      <c r="B78" s="10">
        <f t="shared" ref="B78:N78" si="36">B1091</f>
        <v>147583.72999999998</v>
      </c>
      <c r="C78" s="10">
        <f t="shared" si="36"/>
        <v>133056.32000000001</v>
      </c>
      <c r="D78" s="10">
        <f t="shared" si="36"/>
        <v>146956.13999999998</v>
      </c>
      <c r="E78" s="10">
        <f t="shared" si="36"/>
        <v>141951.44999999998</v>
      </c>
      <c r="F78" s="10">
        <f t="shared" si="36"/>
        <v>146375.65</v>
      </c>
      <c r="G78" s="10">
        <f t="shared" si="36"/>
        <v>141382.63</v>
      </c>
      <c r="H78" s="10">
        <f t="shared" si="36"/>
        <v>145785.84</v>
      </c>
      <c r="I78" s="10">
        <f t="shared" si="36"/>
        <v>145500.91</v>
      </c>
      <c r="J78" s="10">
        <f t="shared" si="36"/>
        <v>140530.25</v>
      </c>
      <c r="K78" s="10">
        <f t="shared" si="36"/>
        <v>144902.01</v>
      </c>
      <c r="L78" s="10">
        <f t="shared" si="36"/>
        <v>139949.35999999999</v>
      </c>
      <c r="M78" s="10">
        <f t="shared" si="36"/>
        <v>144299.65</v>
      </c>
      <c r="N78" s="10">
        <f t="shared" si="36"/>
        <v>1718273.9400000002</v>
      </c>
    </row>
    <row r="79" spans="1:14" ht="4.95" customHeight="1" x14ac:dyDescent="0.2"/>
    <row r="80" spans="1:14" x14ac:dyDescent="0.2">
      <c r="A80" s="7" t="s">
        <v>56</v>
      </c>
      <c r="B80" s="9">
        <f t="shared" ref="B80:N80" si="37">B76-B78</f>
        <v>-67808.809999999969</v>
      </c>
      <c r="C80" s="9">
        <f t="shared" si="37"/>
        <v>431938.23000000004</v>
      </c>
      <c r="D80" s="9">
        <f t="shared" si="37"/>
        <v>585498.94000000018</v>
      </c>
      <c r="E80" s="9">
        <f t="shared" si="37"/>
        <v>309758.87000000034</v>
      </c>
      <c r="F80" s="9">
        <f t="shared" si="37"/>
        <v>232444.92999999991</v>
      </c>
      <c r="G80" s="9">
        <f t="shared" si="37"/>
        <v>108813.1</v>
      </c>
      <c r="H80" s="9">
        <f t="shared" si="37"/>
        <v>-46344.34</v>
      </c>
      <c r="I80" s="9">
        <f t="shared" si="37"/>
        <v>-59118.599999999977</v>
      </c>
      <c r="J80" s="9">
        <f t="shared" si="37"/>
        <v>-14929.53999999995</v>
      </c>
      <c r="K80" s="9">
        <f t="shared" si="37"/>
        <v>182723.62</v>
      </c>
      <c r="L80" s="9">
        <f t="shared" si="37"/>
        <v>254359.96000000008</v>
      </c>
      <c r="M80" s="9">
        <f t="shared" si="37"/>
        <v>213731.56999999998</v>
      </c>
      <c r="N80" s="9">
        <f t="shared" si="37"/>
        <v>2131067.9299999997</v>
      </c>
    </row>
    <row r="81" spans="1:14" ht="4.95" customHeight="1" x14ac:dyDescent="0.2"/>
    <row r="82" spans="1:14" x14ac:dyDescent="0.2">
      <c r="A82" s="1" t="s">
        <v>57</v>
      </c>
      <c r="B82" s="10">
        <f t="shared" ref="B82:N82" si="38">B1103</f>
        <v>0</v>
      </c>
      <c r="C82" s="10">
        <f t="shared" si="38"/>
        <v>0</v>
      </c>
      <c r="D82" s="10">
        <f t="shared" si="38"/>
        <v>0</v>
      </c>
      <c r="E82" s="10">
        <f t="shared" si="38"/>
        <v>0</v>
      </c>
      <c r="F82" s="10">
        <f t="shared" si="38"/>
        <v>0</v>
      </c>
      <c r="G82" s="10">
        <f t="shared" si="38"/>
        <v>0</v>
      </c>
      <c r="H82" s="10">
        <f t="shared" si="38"/>
        <v>0</v>
      </c>
      <c r="I82" s="10">
        <f t="shared" si="38"/>
        <v>0</v>
      </c>
      <c r="J82" s="10">
        <f t="shared" si="38"/>
        <v>0</v>
      </c>
      <c r="K82" s="10">
        <f t="shared" si="38"/>
        <v>0</v>
      </c>
      <c r="L82" s="10">
        <f t="shared" si="38"/>
        <v>0</v>
      </c>
      <c r="M82" s="10">
        <f t="shared" si="38"/>
        <v>1436987.03</v>
      </c>
      <c r="N82" s="10">
        <f t="shared" si="38"/>
        <v>1436987.03</v>
      </c>
    </row>
    <row r="83" spans="1:14" ht="4.95" customHeight="1" x14ac:dyDescent="0.2"/>
    <row r="84" spans="1:14" x14ac:dyDescent="0.2">
      <c r="A84" s="7" t="s">
        <v>58</v>
      </c>
      <c r="B84" s="9">
        <f t="shared" ref="B84:N84" si="39">B77+B80-B82</f>
        <v>-67808.809999999969</v>
      </c>
      <c r="C84" s="9">
        <f t="shared" si="39"/>
        <v>431938.23000000004</v>
      </c>
      <c r="D84" s="9">
        <f t="shared" si="39"/>
        <v>585498.94000000018</v>
      </c>
      <c r="E84" s="9">
        <f t="shared" si="39"/>
        <v>309758.87000000034</v>
      </c>
      <c r="F84" s="9">
        <f t="shared" si="39"/>
        <v>232444.92999999991</v>
      </c>
      <c r="G84" s="9">
        <f t="shared" si="39"/>
        <v>108813.1</v>
      </c>
      <c r="H84" s="9">
        <f t="shared" si="39"/>
        <v>-46344.34</v>
      </c>
      <c r="I84" s="9">
        <f t="shared" si="39"/>
        <v>-59118.599999999977</v>
      </c>
      <c r="J84" s="9">
        <f t="shared" si="39"/>
        <v>-14929.53999999995</v>
      </c>
      <c r="K84" s="9">
        <f t="shared" si="39"/>
        <v>182723.62</v>
      </c>
      <c r="L84" s="9">
        <f t="shared" si="39"/>
        <v>254359.96000000008</v>
      </c>
      <c r="M84" s="9">
        <f t="shared" si="39"/>
        <v>-1223255.46</v>
      </c>
      <c r="N84" s="9">
        <f t="shared" si="39"/>
        <v>694080.89999999967</v>
      </c>
    </row>
    <row r="85" spans="1:14" x14ac:dyDescent="0.2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 t="s">
        <v>3</v>
      </c>
    </row>
    <row r="86" spans="1:14" x14ac:dyDescent="0.2">
      <c r="A86" s="16" t="s">
        <v>25</v>
      </c>
    </row>
    <row r="88" spans="1:14" x14ac:dyDescent="0.2">
      <c r="A88" s="16" t="s">
        <v>59</v>
      </c>
    </row>
    <row r="89" spans="1:14" x14ac:dyDescent="0.2">
      <c r="A89" s="16" t="s">
        <v>60</v>
      </c>
    </row>
    <row r="90" spans="1:14" x14ac:dyDescent="0.2">
      <c r="A90" s="17" t="s">
        <v>61</v>
      </c>
      <c r="B90" s="10">
        <v>224281.73</v>
      </c>
      <c r="C90" s="10">
        <v>324228.05</v>
      </c>
      <c r="D90" s="10">
        <v>443941.86</v>
      </c>
      <c r="E90" s="10">
        <v>288141.64</v>
      </c>
      <c r="F90" s="10">
        <v>307221.17</v>
      </c>
      <c r="G90" s="10">
        <v>296481.11</v>
      </c>
      <c r="H90" s="10">
        <v>249808.63</v>
      </c>
      <c r="I90" s="10">
        <v>277200.44</v>
      </c>
      <c r="J90" s="10">
        <v>288715.2</v>
      </c>
      <c r="K90" s="10">
        <v>326431.93</v>
      </c>
      <c r="L90" s="10">
        <v>355063.21</v>
      </c>
      <c r="M90" s="10">
        <v>225261.08</v>
      </c>
      <c r="N90" s="10">
        <f t="shared" ref="N90:N96" si="40">B90+C90+D90+E90+F90+G90+H90+I90+J90+K90+L90+M90</f>
        <v>3606776.0500000003</v>
      </c>
    </row>
    <row r="91" spans="1:14" x14ac:dyDescent="0.2">
      <c r="A91" s="17" t="s">
        <v>62</v>
      </c>
      <c r="B91" s="10">
        <v>45227.81</v>
      </c>
      <c r="C91" s="10">
        <v>60161.1</v>
      </c>
      <c r="D91" s="10">
        <v>51701.760000000002</v>
      </c>
      <c r="E91" s="10">
        <v>34691.99</v>
      </c>
      <c r="F91" s="10">
        <v>52045.87</v>
      </c>
      <c r="G91" s="10">
        <v>27068.49</v>
      </c>
      <c r="H91" s="10">
        <v>12085.47</v>
      </c>
      <c r="I91" s="10">
        <v>17749.84</v>
      </c>
      <c r="J91" s="10">
        <v>27372.43</v>
      </c>
      <c r="K91" s="10">
        <v>24959.55</v>
      </c>
      <c r="L91" s="10">
        <v>31706.720000000001</v>
      </c>
      <c r="M91" s="10">
        <v>20695.47</v>
      </c>
      <c r="N91" s="10">
        <f t="shared" si="40"/>
        <v>405466.5</v>
      </c>
    </row>
    <row r="92" spans="1:14" x14ac:dyDescent="0.2">
      <c r="A92" s="17" t="s">
        <v>63</v>
      </c>
      <c r="B92" s="10">
        <v>19236.68</v>
      </c>
      <c r="C92" s="10">
        <v>38543.4</v>
      </c>
      <c r="D92" s="10">
        <v>58930.29</v>
      </c>
      <c r="E92" s="10">
        <v>43133.82</v>
      </c>
      <c r="F92" s="10">
        <v>64120.160000000003</v>
      </c>
      <c r="G92" s="10">
        <v>40722.800000000003</v>
      </c>
      <c r="H92" s="10">
        <v>35135.660000000003</v>
      </c>
      <c r="I92" s="10">
        <v>44387.89</v>
      </c>
      <c r="J92" s="10">
        <v>45886.27</v>
      </c>
      <c r="K92" s="10">
        <v>47201.41</v>
      </c>
      <c r="L92" s="10">
        <v>52600.39</v>
      </c>
      <c r="M92" s="10">
        <v>31419.279999999999</v>
      </c>
      <c r="N92" s="10">
        <f t="shared" si="40"/>
        <v>521318.05000000016</v>
      </c>
    </row>
    <row r="93" spans="1:14" x14ac:dyDescent="0.2">
      <c r="A93" s="17" t="s">
        <v>64</v>
      </c>
      <c r="B93" s="10">
        <v>132350.21</v>
      </c>
      <c r="C93" s="10">
        <v>196494.56</v>
      </c>
      <c r="D93" s="10">
        <v>251073.17</v>
      </c>
      <c r="E93" s="10">
        <v>193961.61</v>
      </c>
      <c r="F93" s="10">
        <v>276855.26</v>
      </c>
      <c r="G93" s="10">
        <v>340421.65</v>
      </c>
      <c r="H93" s="10">
        <v>318311.11</v>
      </c>
      <c r="I93" s="10">
        <v>267200.33</v>
      </c>
      <c r="J93" s="10">
        <v>197118.15</v>
      </c>
      <c r="K93" s="10">
        <v>253488.13</v>
      </c>
      <c r="L93" s="10">
        <v>209521.33</v>
      </c>
      <c r="M93" s="10">
        <v>191540.14</v>
      </c>
      <c r="N93" s="10">
        <f t="shared" si="40"/>
        <v>2828335.65</v>
      </c>
    </row>
    <row r="94" spans="1:14" x14ac:dyDescent="0.2">
      <c r="A94" s="17" t="s">
        <v>65</v>
      </c>
      <c r="B94" s="10">
        <v>63303.7</v>
      </c>
      <c r="C94" s="10">
        <v>151747.26999999999</v>
      </c>
      <c r="D94" s="10">
        <v>134450.23000000001</v>
      </c>
      <c r="E94" s="10">
        <v>127508.05</v>
      </c>
      <c r="F94" s="10">
        <v>91721.8</v>
      </c>
      <c r="G94" s="10">
        <v>55761.99</v>
      </c>
      <c r="H94" s="10">
        <v>49290.81</v>
      </c>
      <c r="I94" s="10">
        <v>52648.79</v>
      </c>
      <c r="J94" s="10">
        <v>81613.039999999994</v>
      </c>
      <c r="K94" s="10">
        <v>100608.2</v>
      </c>
      <c r="L94" s="10">
        <v>86092.04</v>
      </c>
      <c r="M94" s="10">
        <v>32526.32</v>
      </c>
      <c r="N94" s="10">
        <f t="shared" si="40"/>
        <v>1027272.2399999999</v>
      </c>
    </row>
    <row r="95" spans="1:14" x14ac:dyDescent="0.2">
      <c r="A95" s="17" t="s">
        <v>66</v>
      </c>
      <c r="B95" s="10">
        <v>45477.45</v>
      </c>
      <c r="C95" s="10">
        <v>34286.99</v>
      </c>
      <c r="D95" s="10">
        <v>49291.53</v>
      </c>
      <c r="E95" s="10">
        <v>48160.15</v>
      </c>
      <c r="F95" s="10">
        <v>41466.94</v>
      </c>
      <c r="G95" s="10">
        <v>32788.74</v>
      </c>
      <c r="H95" s="10">
        <v>23258.42</v>
      </c>
      <c r="I95" s="10">
        <v>23068.799999999999</v>
      </c>
      <c r="J95" s="10">
        <v>27296.89</v>
      </c>
      <c r="K95" s="10">
        <v>34013.57</v>
      </c>
      <c r="L95" s="10">
        <v>22345.19</v>
      </c>
      <c r="M95" s="10">
        <v>36087.67</v>
      </c>
      <c r="N95" s="10">
        <f t="shared" si="40"/>
        <v>417542.33999999997</v>
      </c>
    </row>
    <row r="96" spans="1:14" x14ac:dyDescent="0.2">
      <c r="A96" s="17" t="s">
        <v>67</v>
      </c>
      <c r="B96" s="10">
        <v>11253.81</v>
      </c>
      <c r="C96" s="10">
        <v>57724.19</v>
      </c>
      <c r="D96" s="10">
        <v>70512.66</v>
      </c>
      <c r="E96" s="10">
        <v>14002</v>
      </c>
      <c r="F96" s="10">
        <v>14006</v>
      </c>
      <c r="G96" s="10">
        <v>20970</v>
      </c>
      <c r="H96" s="10">
        <v>4157.8500000000004</v>
      </c>
      <c r="I96" s="10">
        <v>5099.29</v>
      </c>
      <c r="J96" s="10">
        <v>19574.68</v>
      </c>
      <c r="K96" s="10">
        <v>10920.46</v>
      </c>
      <c r="L96" s="10">
        <v>10793.76</v>
      </c>
      <c r="M96" s="10">
        <v>4822.5600000000004</v>
      </c>
      <c r="N96" s="10">
        <f t="shared" si="40"/>
        <v>243837.26</v>
      </c>
    </row>
    <row r="97" spans="1:14" ht="4.95" customHeight="1" x14ac:dyDescent="0.2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1:14" ht="4.95" customHeight="1" x14ac:dyDescent="0.2"/>
    <row r="99" spans="1:14" x14ac:dyDescent="0.2">
      <c r="A99" s="16" t="s">
        <v>68</v>
      </c>
      <c r="B99" s="9">
        <f t="shared" ref="B99:N99" si="41">SUM(B90:B96)</f>
        <v>541131.39000000013</v>
      </c>
      <c r="C99" s="9">
        <f t="shared" si="41"/>
        <v>863185.56</v>
      </c>
      <c r="D99" s="9">
        <f t="shared" si="41"/>
        <v>1059901.5</v>
      </c>
      <c r="E99" s="9">
        <f t="shared" si="41"/>
        <v>749599.26000000013</v>
      </c>
      <c r="F99" s="9">
        <f t="shared" si="41"/>
        <v>847437.2</v>
      </c>
      <c r="G99" s="9">
        <f t="shared" si="41"/>
        <v>814214.78</v>
      </c>
      <c r="H99" s="9">
        <f t="shared" si="41"/>
        <v>692047.95</v>
      </c>
      <c r="I99" s="9">
        <f t="shared" si="41"/>
        <v>687355.38000000012</v>
      </c>
      <c r="J99" s="9">
        <f t="shared" si="41"/>
        <v>687576.66000000015</v>
      </c>
      <c r="K99" s="9">
        <f t="shared" si="41"/>
        <v>797623.24999999988</v>
      </c>
      <c r="L99" s="9">
        <f t="shared" si="41"/>
        <v>768122.64</v>
      </c>
      <c r="M99" s="9">
        <f t="shared" si="41"/>
        <v>542352.52</v>
      </c>
      <c r="N99" s="9">
        <f t="shared" si="41"/>
        <v>9050548.0899999999</v>
      </c>
    </row>
    <row r="100" spans="1:14" ht="4.95" customHeight="1" x14ac:dyDescent="0.2"/>
    <row r="101" spans="1:14" x14ac:dyDescent="0.2">
      <c r="A101" s="16" t="s">
        <v>69</v>
      </c>
    </row>
    <row r="102" spans="1:14" x14ac:dyDescent="0.2">
      <c r="A102" s="17" t="s">
        <v>70</v>
      </c>
      <c r="B102" s="10">
        <v>19369</v>
      </c>
      <c r="C102" s="10">
        <v>33500</v>
      </c>
      <c r="D102" s="10">
        <v>51199.75</v>
      </c>
      <c r="E102" s="10">
        <v>48205</v>
      </c>
      <c r="F102" s="10">
        <v>21967</v>
      </c>
      <c r="G102" s="10">
        <v>27800.12</v>
      </c>
      <c r="H102" s="10">
        <v>16698</v>
      </c>
      <c r="I102" s="10">
        <v>16491</v>
      </c>
      <c r="J102" s="10">
        <v>71538</v>
      </c>
      <c r="K102" s="10">
        <v>59570.19</v>
      </c>
      <c r="L102" s="10">
        <v>38490</v>
      </c>
      <c r="M102" s="10">
        <v>6132</v>
      </c>
      <c r="N102" s="10">
        <f>B102+C102+D102+E102+F102+G102+H102+I102+J102+K102+L102+M102</f>
        <v>410960.06</v>
      </c>
    </row>
    <row r="103" spans="1:14" x14ac:dyDescent="0.2">
      <c r="A103" s="17" t="s">
        <v>71</v>
      </c>
      <c r="B103" s="10">
        <v>29933.67</v>
      </c>
      <c r="C103" s="10">
        <v>45494</v>
      </c>
      <c r="D103" s="10">
        <v>39857</v>
      </c>
      <c r="E103" s="10">
        <v>136258.32</v>
      </c>
      <c r="F103" s="10">
        <v>68488</v>
      </c>
      <c r="G103" s="10">
        <v>12864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f>B103+C103+D103+E103+F103+G103+H103+I103+J103+K103+L103+M103</f>
        <v>332894.99</v>
      </c>
    </row>
    <row r="104" spans="1:14" x14ac:dyDescent="0.2">
      <c r="A104" s="17" t="s">
        <v>72</v>
      </c>
      <c r="B104" s="10">
        <v>9565.01</v>
      </c>
      <c r="C104" s="10">
        <v>16494.09</v>
      </c>
      <c r="D104" s="10">
        <v>32596.03</v>
      </c>
      <c r="E104" s="10">
        <v>5929.91</v>
      </c>
      <c r="F104" s="10">
        <v>10132.93</v>
      </c>
      <c r="G104" s="10">
        <v>9638.7900000000009</v>
      </c>
      <c r="H104" s="10">
        <v>10839.71</v>
      </c>
      <c r="I104" s="10">
        <v>21104.14</v>
      </c>
      <c r="J104" s="10">
        <v>3171.48</v>
      </c>
      <c r="K104" s="10">
        <v>6368.58</v>
      </c>
      <c r="L104" s="10">
        <v>7586.76</v>
      </c>
      <c r="M104" s="10">
        <v>1363.64</v>
      </c>
      <c r="N104" s="10">
        <f>B104+C104+D104+E104+F104+G104+H104+I104+J104+K104+L104+M104</f>
        <v>134791.07</v>
      </c>
    </row>
    <row r="105" spans="1:14" x14ac:dyDescent="0.2">
      <c r="A105" s="17" t="s">
        <v>73</v>
      </c>
      <c r="B105" s="10">
        <v>51972</v>
      </c>
      <c r="C105" s="10">
        <v>69173.56</v>
      </c>
      <c r="D105" s="10">
        <v>86604</v>
      </c>
      <c r="E105" s="10">
        <v>75599.100000000006</v>
      </c>
      <c r="F105" s="10">
        <v>61236</v>
      </c>
      <c r="G105" s="10">
        <v>14766</v>
      </c>
      <c r="H105" s="10">
        <v>3633</v>
      </c>
      <c r="I105" s="10">
        <v>38058</v>
      </c>
      <c r="J105" s="10">
        <v>38574.1</v>
      </c>
      <c r="K105" s="10">
        <v>64375</v>
      </c>
      <c r="L105" s="10">
        <v>48382</v>
      </c>
      <c r="M105" s="10">
        <v>16632.18</v>
      </c>
      <c r="N105" s="10">
        <f>B105+C105+D105+E105+F105+G105+H105+I105+J105+K105+L105+M105</f>
        <v>569004.94000000006</v>
      </c>
    </row>
    <row r="106" spans="1:14" ht="4.95" customHeight="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1:14" ht="4.95" customHeight="1" x14ac:dyDescent="0.2"/>
    <row r="108" spans="1:14" x14ac:dyDescent="0.2">
      <c r="A108" s="16" t="s">
        <v>74</v>
      </c>
      <c r="B108" s="9">
        <f t="shared" ref="B108:N108" si="42">SUM(B102:B105)</f>
        <v>110839.67999999999</v>
      </c>
      <c r="C108" s="9">
        <f t="shared" si="42"/>
        <v>164661.65</v>
      </c>
      <c r="D108" s="9">
        <f t="shared" si="42"/>
        <v>210256.78</v>
      </c>
      <c r="E108" s="9">
        <f t="shared" si="42"/>
        <v>265992.33</v>
      </c>
      <c r="F108" s="9">
        <f t="shared" si="42"/>
        <v>161823.93</v>
      </c>
      <c r="G108" s="9">
        <f t="shared" si="42"/>
        <v>65068.909999999996</v>
      </c>
      <c r="H108" s="9">
        <f t="shared" si="42"/>
        <v>31170.71</v>
      </c>
      <c r="I108" s="9">
        <f t="shared" si="42"/>
        <v>75653.14</v>
      </c>
      <c r="J108" s="9">
        <f t="shared" si="42"/>
        <v>113283.57999999999</v>
      </c>
      <c r="K108" s="9">
        <f t="shared" si="42"/>
        <v>130313.77</v>
      </c>
      <c r="L108" s="9">
        <f t="shared" si="42"/>
        <v>94458.760000000009</v>
      </c>
      <c r="M108" s="9">
        <f t="shared" si="42"/>
        <v>24127.82</v>
      </c>
      <c r="N108" s="9">
        <f t="shared" si="42"/>
        <v>1447651.06</v>
      </c>
    </row>
    <row r="109" spans="1:14" ht="4.95" customHeight="1" x14ac:dyDescent="0.2"/>
    <row r="110" spans="1:14" x14ac:dyDescent="0.2">
      <c r="A110" s="16" t="s">
        <v>75</v>
      </c>
    </row>
    <row r="111" spans="1:14" x14ac:dyDescent="0.2">
      <c r="A111" s="17" t="s">
        <v>76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40590.86</v>
      </c>
      <c r="M111" s="10">
        <v>34669</v>
      </c>
      <c r="N111" s="10">
        <f>B111+C111+D111+E111+F111+G111+H111+I111+J111+K111+L111+M111</f>
        <v>75259.86</v>
      </c>
    </row>
    <row r="112" spans="1:14" x14ac:dyDescent="0.2">
      <c r="A112" s="17" t="s">
        <v>77</v>
      </c>
      <c r="B112" s="10">
        <v>-3196.29</v>
      </c>
      <c r="C112" s="10">
        <v>-5016.49</v>
      </c>
      <c r="D112" s="10">
        <v>-10595.92</v>
      </c>
      <c r="E112" s="10">
        <v>-5196.8999999999996</v>
      </c>
      <c r="F112" s="10">
        <v>-11953.98</v>
      </c>
      <c r="G112" s="10">
        <v>-8987.9500000000007</v>
      </c>
      <c r="H112" s="10">
        <v>-6300.25</v>
      </c>
      <c r="I112" s="10">
        <v>-5550.45</v>
      </c>
      <c r="J112" s="10">
        <v>-7602.2</v>
      </c>
      <c r="K112" s="10">
        <v>-17478.009999999998</v>
      </c>
      <c r="L112" s="10">
        <v>-879.37</v>
      </c>
      <c r="M112" s="10">
        <v>-1185.96</v>
      </c>
      <c r="N112" s="10">
        <f>B112+C112+D112+E112+F112+G112+H112+I112+J112+K112+L112+M112</f>
        <v>-83943.76999999999</v>
      </c>
    </row>
    <row r="113" spans="1:14" x14ac:dyDescent="0.2">
      <c r="A113" s="17" t="s">
        <v>78</v>
      </c>
      <c r="B113" s="10">
        <v>8259.17</v>
      </c>
      <c r="C113" s="10">
        <v>12798.78</v>
      </c>
      <c r="D113" s="10">
        <v>21662.69</v>
      </c>
      <c r="E113" s="10">
        <v>19176.7</v>
      </c>
      <c r="F113" s="10">
        <v>16283.01</v>
      </c>
      <c r="G113" s="10">
        <v>10415.66</v>
      </c>
      <c r="H113" s="10">
        <v>15190.18</v>
      </c>
      <c r="I113" s="10">
        <v>9399.66</v>
      </c>
      <c r="J113" s="10">
        <v>11221.22</v>
      </c>
      <c r="K113" s="10">
        <v>12667.18</v>
      </c>
      <c r="L113" s="10">
        <v>6133.84</v>
      </c>
      <c r="M113" s="10">
        <v>7673.9</v>
      </c>
      <c r="N113" s="10">
        <f>B113+C113+D113+E113+F113+G113+H113+I113+J113+K113+L113+M113</f>
        <v>150881.99</v>
      </c>
    </row>
    <row r="114" spans="1:14" x14ac:dyDescent="0.2">
      <c r="A114" s="17" t="s">
        <v>79</v>
      </c>
      <c r="B114" s="10">
        <v>1125</v>
      </c>
      <c r="C114" s="10">
        <v>656</v>
      </c>
      <c r="D114" s="10">
        <v>973</v>
      </c>
      <c r="E114" s="10">
        <v>4194</v>
      </c>
      <c r="F114" s="10">
        <v>0</v>
      </c>
      <c r="G114" s="10">
        <v>206.4</v>
      </c>
      <c r="H114" s="10">
        <v>0</v>
      </c>
      <c r="I114" s="10">
        <v>4286.5</v>
      </c>
      <c r="J114" s="10">
        <v>4762</v>
      </c>
      <c r="K114" s="10">
        <v>-2607.5</v>
      </c>
      <c r="L114" s="10">
        <v>0</v>
      </c>
      <c r="M114" s="10">
        <v>0</v>
      </c>
      <c r="N114" s="10">
        <f>B114+C114+D114+E114+F114+G114+H114+I114+J114+K114+L114+M114</f>
        <v>13595.4</v>
      </c>
    </row>
    <row r="115" spans="1:14" ht="4.95" customHeight="1" x14ac:dyDescent="0.2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spans="1:14" ht="4.95" customHeight="1" x14ac:dyDescent="0.2"/>
    <row r="117" spans="1:14" x14ac:dyDescent="0.2">
      <c r="A117" s="16" t="s">
        <v>80</v>
      </c>
      <c r="B117" s="9">
        <f t="shared" ref="B117:N117" si="43">SUM(B111:B114)</f>
        <v>6187.88</v>
      </c>
      <c r="C117" s="9">
        <f t="shared" si="43"/>
        <v>8438.2900000000009</v>
      </c>
      <c r="D117" s="9">
        <f t="shared" si="43"/>
        <v>12039.769999999999</v>
      </c>
      <c r="E117" s="9">
        <f t="shared" si="43"/>
        <v>18173.800000000003</v>
      </c>
      <c r="F117" s="9">
        <f t="shared" si="43"/>
        <v>4329.0300000000007</v>
      </c>
      <c r="G117" s="9">
        <f t="shared" si="43"/>
        <v>1634.1099999999992</v>
      </c>
      <c r="H117" s="9">
        <f t="shared" si="43"/>
        <v>8889.93</v>
      </c>
      <c r="I117" s="9">
        <f t="shared" si="43"/>
        <v>8135.71</v>
      </c>
      <c r="J117" s="9">
        <f t="shared" si="43"/>
        <v>8381.02</v>
      </c>
      <c r="K117" s="9">
        <f t="shared" si="43"/>
        <v>-7418.3299999999981</v>
      </c>
      <c r="L117" s="9">
        <f t="shared" si="43"/>
        <v>45845.33</v>
      </c>
      <c r="M117" s="9">
        <f t="shared" si="43"/>
        <v>41156.94</v>
      </c>
      <c r="N117" s="9">
        <f t="shared" si="43"/>
        <v>155793.48000000001</v>
      </c>
    </row>
    <row r="118" spans="1:14" ht="4.95" customHeight="1" x14ac:dyDescent="0.2"/>
    <row r="119" spans="1:14" ht="4.95" customHeight="1" x14ac:dyDescent="0.2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spans="1:14" ht="4.95" customHeight="1" x14ac:dyDescent="0.2"/>
    <row r="121" spans="1:14" x14ac:dyDescent="0.2">
      <c r="A121" s="16" t="s">
        <v>81</v>
      </c>
      <c r="B121" s="9">
        <f t="shared" ref="B121:N121" si="44">B99+B108+B117</f>
        <v>658158.95000000007</v>
      </c>
      <c r="C121" s="9">
        <f t="shared" si="44"/>
        <v>1036285.5000000001</v>
      </c>
      <c r="D121" s="9">
        <f t="shared" si="44"/>
        <v>1282198.05</v>
      </c>
      <c r="E121" s="9">
        <f t="shared" si="44"/>
        <v>1033765.3900000001</v>
      </c>
      <c r="F121" s="9">
        <f t="shared" si="44"/>
        <v>1013590.1599999999</v>
      </c>
      <c r="G121" s="9">
        <f t="shared" si="44"/>
        <v>880917.8</v>
      </c>
      <c r="H121" s="9">
        <f t="shared" si="44"/>
        <v>732108.59</v>
      </c>
      <c r="I121" s="9">
        <f t="shared" si="44"/>
        <v>771144.2300000001</v>
      </c>
      <c r="J121" s="9">
        <f t="shared" si="44"/>
        <v>809241.26000000013</v>
      </c>
      <c r="K121" s="9">
        <f t="shared" si="44"/>
        <v>920518.69</v>
      </c>
      <c r="L121" s="9">
        <f t="shared" si="44"/>
        <v>908426.73</v>
      </c>
      <c r="M121" s="9">
        <f t="shared" si="44"/>
        <v>607637.28</v>
      </c>
      <c r="N121" s="9">
        <f t="shared" si="44"/>
        <v>10653992.630000001</v>
      </c>
    </row>
    <row r="122" spans="1:14" x14ac:dyDescent="0.2">
      <c r="A122" s="16" t="s">
        <v>82</v>
      </c>
    </row>
    <row r="124" spans="1:14" x14ac:dyDescent="0.2">
      <c r="A124" s="16" t="s">
        <v>83</v>
      </c>
    </row>
    <row r="125" spans="1:14" x14ac:dyDescent="0.2">
      <c r="A125" s="16" t="s">
        <v>84</v>
      </c>
    </row>
    <row r="126" spans="1:14" x14ac:dyDescent="0.2">
      <c r="A126" s="17" t="s">
        <v>85</v>
      </c>
      <c r="B126" s="10">
        <v>5087.04</v>
      </c>
      <c r="C126" s="10">
        <v>4844.8</v>
      </c>
      <c r="D126" s="10">
        <v>5006.08</v>
      </c>
      <c r="E126" s="10">
        <v>4248.6400000000003</v>
      </c>
      <c r="F126" s="10">
        <v>5498.24</v>
      </c>
      <c r="G126" s="10">
        <v>3280.86</v>
      </c>
      <c r="H126" s="10">
        <v>5788.23</v>
      </c>
      <c r="I126" s="10">
        <v>5537.05</v>
      </c>
      <c r="J126" s="10">
        <v>5106.7</v>
      </c>
      <c r="K126" s="10">
        <v>4036.12</v>
      </c>
      <c r="L126" s="10">
        <v>4605.8</v>
      </c>
      <c r="M126" s="10">
        <v>5285.14</v>
      </c>
      <c r="N126" s="10">
        <f>B126+C126+D126+E126+F126+G126+H126+I126+J126+K126+L126+M126</f>
        <v>58324.700000000004</v>
      </c>
    </row>
    <row r="127" spans="1:14" x14ac:dyDescent="0.2">
      <c r="A127" s="17" t="s">
        <v>86</v>
      </c>
      <c r="B127" s="10">
        <v>3374.4</v>
      </c>
      <c r="C127" s="10">
        <v>1855.92</v>
      </c>
      <c r="D127" s="10">
        <v>2622.96</v>
      </c>
      <c r="E127" s="10">
        <v>3838.56</v>
      </c>
      <c r="F127" s="10">
        <v>3838.56</v>
      </c>
      <c r="G127" s="10">
        <v>3163.28</v>
      </c>
      <c r="H127" s="10">
        <v>4041.27</v>
      </c>
      <c r="I127" s="10">
        <v>3865.81</v>
      </c>
      <c r="J127" s="10">
        <v>3565.37</v>
      </c>
      <c r="K127" s="10">
        <v>3865.17</v>
      </c>
      <c r="L127" s="10">
        <v>3739.27</v>
      </c>
      <c r="M127" s="10">
        <v>4451.41</v>
      </c>
      <c r="N127" s="10">
        <f>B127+C127+D127+E127+F127+G127+H127+I127+J127+K127+L127+M127</f>
        <v>42221.979999999996</v>
      </c>
    </row>
    <row r="128" spans="1:14" x14ac:dyDescent="0.2">
      <c r="A128" s="17" t="s">
        <v>87</v>
      </c>
      <c r="B128" s="10">
        <v>5722.8</v>
      </c>
      <c r="C128" s="10">
        <v>6024</v>
      </c>
      <c r="D128" s="10">
        <v>6212.16</v>
      </c>
      <c r="E128" s="10">
        <v>6513.36</v>
      </c>
      <c r="F128" s="10">
        <v>6823.52</v>
      </c>
      <c r="G128" s="10">
        <v>5622.72</v>
      </c>
      <c r="H128" s="10">
        <v>6872.88</v>
      </c>
      <c r="I128" s="10">
        <v>6561.12</v>
      </c>
      <c r="J128" s="10">
        <v>5716.86</v>
      </c>
      <c r="K128" s="10">
        <v>6559.94</v>
      </c>
      <c r="L128" s="10">
        <v>6336.18</v>
      </c>
      <c r="M128" s="10">
        <v>6248.53</v>
      </c>
      <c r="N128" s="10">
        <f>B128+C128+D128+E128+F128+G128+H128+I128+J128+K128+L128+M128</f>
        <v>75214.070000000007</v>
      </c>
    </row>
    <row r="129" spans="1:14" x14ac:dyDescent="0.2">
      <c r="A129" s="17" t="s">
        <v>88</v>
      </c>
      <c r="B129" s="10">
        <v>5921.84</v>
      </c>
      <c r="C129" s="10">
        <v>6013.49</v>
      </c>
      <c r="D129" s="10">
        <v>6564.93</v>
      </c>
      <c r="E129" s="10">
        <v>5995.17</v>
      </c>
      <c r="F129" s="10">
        <v>5402.83</v>
      </c>
      <c r="G129" s="10">
        <v>4130.59</v>
      </c>
      <c r="H129" s="10">
        <v>3609.72</v>
      </c>
      <c r="I129" s="10">
        <v>3774.15</v>
      </c>
      <c r="J129" s="10">
        <v>5322.55</v>
      </c>
      <c r="K129" s="10">
        <v>7019.48</v>
      </c>
      <c r="L129" s="10">
        <v>5169.91</v>
      </c>
      <c r="M129" s="10">
        <v>3037.98</v>
      </c>
      <c r="N129" s="10">
        <f>B129+C129+D129+E129+F129+G129+H129+I129+J129+K129+L129+M129</f>
        <v>61962.640000000021</v>
      </c>
    </row>
    <row r="130" spans="1:14" x14ac:dyDescent="0.2">
      <c r="A130" s="17" t="s">
        <v>89</v>
      </c>
      <c r="B130" s="10">
        <v>18983.63</v>
      </c>
      <c r="C130" s="10">
        <v>19002.2</v>
      </c>
      <c r="D130" s="10">
        <v>20333.259999999998</v>
      </c>
      <c r="E130" s="10">
        <v>19540.43</v>
      </c>
      <c r="F130" s="10">
        <v>20420.580000000002</v>
      </c>
      <c r="G130" s="10">
        <v>20129.71</v>
      </c>
      <c r="H130" s="10">
        <v>20328.22</v>
      </c>
      <c r="I130" s="10">
        <v>21285.05</v>
      </c>
      <c r="J130" s="10">
        <v>17029.61</v>
      </c>
      <c r="K130" s="10">
        <v>20200.169999999998</v>
      </c>
      <c r="L130" s="10">
        <v>21861.32</v>
      </c>
      <c r="M130" s="10">
        <v>21492.3</v>
      </c>
      <c r="N130" s="10">
        <f>B130+C130+D130+E130+F130+G130+H130+I130+J130+K130+L130+M130</f>
        <v>240606.47999999998</v>
      </c>
    </row>
    <row r="131" spans="1:14" x14ac:dyDescent="0.2">
      <c r="A131" s="16" t="s">
        <v>90</v>
      </c>
      <c r="B131" s="9">
        <f t="shared" ref="B131:N131" si="45">SUM(B126:B130)</f>
        <v>39089.710000000006</v>
      </c>
      <c r="C131" s="9">
        <f t="shared" si="45"/>
        <v>37740.410000000003</v>
      </c>
      <c r="D131" s="9">
        <f t="shared" si="45"/>
        <v>40739.39</v>
      </c>
      <c r="E131" s="9">
        <f t="shared" si="45"/>
        <v>40136.160000000003</v>
      </c>
      <c r="F131" s="9">
        <f t="shared" si="45"/>
        <v>41983.73</v>
      </c>
      <c r="G131" s="9">
        <f t="shared" si="45"/>
        <v>36327.160000000003</v>
      </c>
      <c r="H131" s="9">
        <f t="shared" si="45"/>
        <v>40640.320000000007</v>
      </c>
      <c r="I131" s="9">
        <f t="shared" si="45"/>
        <v>41023.18</v>
      </c>
      <c r="J131" s="9">
        <f t="shared" si="45"/>
        <v>36741.089999999997</v>
      </c>
      <c r="K131" s="9">
        <f t="shared" si="45"/>
        <v>41680.879999999997</v>
      </c>
      <c r="L131" s="9">
        <f t="shared" si="45"/>
        <v>41712.479999999996</v>
      </c>
      <c r="M131" s="9">
        <f t="shared" si="45"/>
        <v>40515.360000000001</v>
      </c>
      <c r="N131" s="9">
        <f t="shared" si="45"/>
        <v>478329.87</v>
      </c>
    </row>
    <row r="133" spans="1:14" x14ac:dyDescent="0.2">
      <c r="A133" s="16" t="s">
        <v>91</v>
      </c>
    </row>
    <row r="134" spans="1:14" x14ac:dyDescent="0.2">
      <c r="A134" s="17" t="s">
        <v>92</v>
      </c>
      <c r="B134" s="10">
        <v>3862.21</v>
      </c>
      <c r="C134" s="10">
        <v>5597.64</v>
      </c>
      <c r="D134" s="10">
        <v>5952.76</v>
      </c>
      <c r="E134" s="10">
        <v>5479.36</v>
      </c>
      <c r="F134" s="10">
        <v>5721.14</v>
      </c>
      <c r="G134" s="10">
        <v>5103.1099999999997</v>
      </c>
      <c r="H134" s="10">
        <v>2991.38</v>
      </c>
      <c r="I134" s="10">
        <v>4676.24</v>
      </c>
      <c r="J134" s="10">
        <v>5666.29</v>
      </c>
      <c r="K134" s="10">
        <v>5963.58</v>
      </c>
      <c r="L134" s="10">
        <v>5416.07</v>
      </c>
      <c r="M134" s="10">
        <v>5037.75</v>
      </c>
      <c r="N134" s="10">
        <f t="shared" ref="N134:N142" si="46">B134+C134+D134+E134+F134+G134+H134+I134+J134+K134+L134+M134</f>
        <v>61467.53</v>
      </c>
    </row>
    <row r="135" spans="1:14" x14ac:dyDescent="0.2">
      <c r="A135" s="17" t="s">
        <v>93</v>
      </c>
      <c r="B135" s="10">
        <v>30539.8</v>
      </c>
      <c r="C135" s="10">
        <v>40576.129999999997</v>
      </c>
      <c r="D135" s="10">
        <v>48818.02</v>
      </c>
      <c r="E135" s="10">
        <v>41452.07</v>
      </c>
      <c r="F135" s="10">
        <v>46119.85</v>
      </c>
      <c r="G135" s="10">
        <v>37903.129999999997</v>
      </c>
      <c r="H135" s="10">
        <v>45056.639999999999</v>
      </c>
      <c r="I135" s="10">
        <v>37882.17</v>
      </c>
      <c r="J135" s="10">
        <v>29275.73</v>
      </c>
      <c r="K135" s="10">
        <v>32372.81</v>
      </c>
      <c r="L135" s="10">
        <v>29612.71</v>
      </c>
      <c r="M135" s="10">
        <v>33669.379999999997</v>
      </c>
      <c r="N135" s="10">
        <f t="shared" si="46"/>
        <v>453278.44</v>
      </c>
    </row>
    <row r="136" spans="1:14" x14ac:dyDescent="0.2">
      <c r="A136" s="17" t="s">
        <v>94</v>
      </c>
      <c r="B136" s="10">
        <v>3974.69</v>
      </c>
      <c r="C136" s="10">
        <v>3964.7</v>
      </c>
      <c r="D136" s="10">
        <v>7960.74</v>
      </c>
      <c r="E136" s="10">
        <v>7315.48</v>
      </c>
      <c r="F136" s="10">
        <v>8057.3</v>
      </c>
      <c r="G136" s="10">
        <v>7896.5</v>
      </c>
      <c r="H136" s="10">
        <v>8293.3799999999992</v>
      </c>
      <c r="I136" s="10">
        <v>7884.64</v>
      </c>
      <c r="J136" s="10">
        <v>7338.17</v>
      </c>
      <c r="K136" s="10">
        <v>5496.73</v>
      </c>
      <c r="L136" s="10">
        <v>4404</v>
      </c>
      <c r="M136" s="10">
        <v>3578.47</v>
      </c>
      <c r="N136" s="10">
        <f t="shared" si="46"/>
        <v>76164.800000000003</v>
      </c>
    </row>
    <row r="137" spans="1:14" x14ac:dyDescent="0.2">
      <c r="A137" s="17" t="s">
        <v>95</v>
      </c>
      <c r="B137" s="10">
        <v>5600.63</v>
      </c>
      <c r="C137" s="10">
        <v>3731.01</v>
      </c>
      <c r="D137" s="10">
        <v>5077.3100000000004</v>
      </c>
      <c r="E137" s="10">
        <v>6419.25</v>
      </c>
      <c r="F137" s="10">
        <v>7229.85</v>
      </c>
      <c r="G137" s="10">
        <v>5740.92</v>
      </c>
      <c r="H137" s="10">
        <v>6244.14</v>
      </c>
      <c r="I137" s="10">
        <v>4923.8100000000004</v>
      </c>
      <c r="J137" s="10">
        <v>5964.72</v>
      </c>
      <c r="K137" s="10">
        <v>5981.49</v>
      </c>
      <c r="L137" s="10">
        <v>5103.5200000000004</v>
      </c>
      <c r="M137" s="10">
        <v>4623.5200000000004</v>
      </c>
      <c r="N137" s="10">
        <f t="shared" si="46"/>
        <v>66640.17</v>
      </c>
    </row>
    <row r="138" spans="1:14" x14ac:dyDescent="0.2">
      <c r="A138" s="17" t="s">
        <v>96</v>
      </c>
      <c r="B138" s="10">
        <v>3227.97</v>
      </c>
      <c r="C138" s="10">
        <v>3028.37</v>
      </c>
      <c r="D138" s="10">
        <v>-0.04</v>
      </c>
      <c r="E138" s="10">
        <v>0</v>
      </c>
      <c r="F138" s="10">
        <v>3420.45</v>
      </c>
      <c r="G138" s="10">
        <v>3641.21</v>
      </c>
      <c r="H138" s="10">
        <v>3685.44</v>
      </c>
      <c r="I138" s="10">
        <v>2144.29</v>
      </c>
      <c r="J138" s="10">
        <v>3892.64</v>
      </c>
      <c r="K138" s="10">
        <v>4121.83</v>
      </c>
      <c r="L138" s="10">
        <v>3431.64</v>
      </c>
      <c r="M138" s="10">
        <v>3074.76</v>
      </c>
      <c r="N138" s="10">
        <f t="shared" si="46"/>
        <v>33668.559999999998</v>
      </c>
    </row>
    <row r="139" spans="1:14" x14ac:dyDescent="0.2">
      <c r="A139" s="17" t="s">
        <v>97</v>
      </c>
      <c r="B139" s="10">
        <v>7686.84</v>
      </c>
      <c r="C139" s="10">
        <v>9924.91</v>
      </c>
      <c r="D139" s="10">
        <v>16007.23</v>
      </c>
      <c r="E139" s="10">
        <v>12748.76</v>
      </c>
      <c r="F139" s="10">
        <v>15746.65</v>
      </c>
      <c r="G139" s="10">
        <v>9069.51</v>
      </c>
      <c r="H139" s="10">
        <v>11797.25</v>
      </c>
      <c r="I139" s="10">
        <v>14916.32</v>
      </c>
      <c r="J139" s="10">
        <v>11326.64</v>
      </c>
      <c r="K139" s="10">
        <v>12515.57</v>
      </c>
      <c r="L139" s="10">
        <v>10924.48</v>
      </c>
      <c r="M139" s="10">
        <v>9411.24</v>
      </c>
      <c r="N139" s="10">
        <f t="shared" si="46"/>
        <v>142075.4</v>
      </c>
    </row>
    <row r="140" spans="1:14" x14ac:dyDescent="0.2">
      <c r="A140" s="17" t="s">
        <v>98</v>
      </c>
      <c r="B140" s="10">
        <v>2597.84</v>
      </c>
      <c r="C140" s="10">
        <v>2854.18</v>
      </c>
      <c r="D140" s="10">
        <v>2628.32</v>
      </c>
      <c r="E140" s="10">
        <v>2970.72</v>
      </c>
      <c r="F140" s="10">
        <v>2904.46</v>
      </c>
      <c r="G140" s="10">
        <v>5780.49</v>
      </c>
      <c r="H140" s="10">
        <v>6517.79</v>
      </c>
      <c r="I140" s="10">
        <v>6246.36</v>
      </c>
      <c r="J140" s="10">
        <v>5616.38</v>
      </c>
      <c r="K140" s="10">
        <v>4954.01</v>
      </c>
      <c r="L140" s="10">
        <v>5036.3999999999996</v>
      </c>
      <c r="M140" s="10">
        <v>5278.5</v>
      </c>
      <c r="N140" s="10">
        <f t="shared" si="46"/>
        <v>53385.450000000004</v>
      </c>
    </row>
    <row r="141" spans="1:14" x14ac:dyDescent="0.2">
      <c r="A141" s="17" t="s">
        <v>99</v>
      </c>
      <c r="B141" s="10">
        <v>8723.85</v>
      </c>
      <c r="C141" s="10">
        <v>11195.75</v>
      </c>
      <c r="D141" s="10">
        <v>13385.25</v>
      </c>
      <c r="E141" s="10">
        <v>11206.79</v>
      </c>
      <c r="F141" s="10">
        <v>13603.26</v>
      </c>
      <c r="G141" s="10">
        <v>10961.49</v>
      </c>
      <c r="H141" s="10">
        <v>12668.76</v>
      </c>
      <c r="I141" s="10">
        <v>12845.32</v>
      </c>
      <c r="J141" s="10">
        <v>9730.31</v>
      </c>
      <c r="K141" s="10">
        <v>11212.94</v>
      </c>
      <c r="L141" s="10">
        <v>11695.78</v>
      </c>
      <c r="M141" s="10">
        <v>9018.43</v>
      </c>
      <c r="N141" s="10">
        <f t="shared" si="46"/>
        <v>136247.93</v>
      </c>
    </row>
    <row r="142" spans="1:14" x14ac:dyDescent="0.2">
      <c r="A142" s="17" t="s">
        <v>100</v>
      </c>
      <c r="B142" s="10">
        <v>0</v>
      </c>
      <c r="C142" s="10">
        <v>0</v>
      </c>
      <c r="D142" s="10">
        <v>0</v>
      </c>
      <c r="E142" s="10">
        <v>0</v>
      </c>
      <c r="F142" s="10">
        <v>1219.75</v>
      </c>
      <c r="G142" s="10">
        <v>637.5</v>
      </c>
      <c r="H142" s="10">
        <v>7304.25</v>
      </c>
      <c r="I142" s="10">
        <v>19248.25</v>
      </c>
      <c r="J142" s="10">
        <v>18806.25</v>
      </c>
      <c r="K142" s="10">
        <v>26677.25</v>
      </c>
      <c r="L142" s="10">
        <v>22155.25</v>
      </c>
      <c r="M142" s="10">
        <v>6200.75</v>
      </c>
      <c r="N142" s="10">
        <f t="shared" si="46"/>
        <v>102249.25</v>
      </c>
    </row>
    <row r="143" spans="1:14" x14ac:dyDescent="0.2">
      <c r="A143" s="16" t="s">
        <v>101</v>
      </c>
      <c r="B143" s="9">
        <f t="shared" ref="B143:N143" si="47">SUM(B134:B142)</f>
        <v>66213.83</v>
      </c>
      <c r="C143" s="9">
        <f t="shared" si="47"/>
        <v>80872.689999999988</v>
      </c>
      <c r="D143" s="9">
        <f t="shared" si="47"/>
        <v>99829.590000000011</v>
      </c>
      <c r="E143" s="9">
        <f t="shared" si="47"/>
        <v>87592.43</v>
      </c>
      <c r="F143" s="9">
        <f t="shared" si="47"/>
        <v>104022.70999999999</v>
      </c>
      <c r="G143" s="9">
        <f t="shared" si="47"/>
        <v>86733.86</v>
      </c>
      <c r="H143" s="9">
        <f t="shared" si="47"/>
        <v>104559.02999999998</v>
      </c>
      <c r="I143" s="9">
        <f t="shared" si="47"/>
        <v>110767.4</v>
      </c>
      <c r="J143" s="9">
        <f t="shared" si="47"/>
        <v>97617.12999999999</v>
      </c>
      <c r="K143" s="9">
        <f t="shared" si="47"/>
        <v>109296.20999999999</v>
      </c>
      <c r="L143" s="9">
        <f t="shared" si="47"/>
        <v>97779.85</v>
      </c>
      <c r="M143" s="9">
        <f t="shared" si="47"/>
        <v>79892.799999999988</v>
      </c>
      <c r="N143" s="9">
        <f t="shared" si="47"/>
        <v>1125177.53</v>
      </c>
    </row>
    <row r="144" spans="1:14" x14ac:dyDescent="0.2">
      <c r="A144" s="16" t="s">
        <v>102</v>
      </c>
      <c r="B144" s="9">
        <f t="shared" ref="B144:N144" si="48">B131+B143</f>
        <v>105303.54000000001</v>
      </c>
      <c r="C144" s="9">
        <f t="shared" si="48"/>
        <v>118613.09999999999</v>
      </c>
      <c r="D144" s="9">
        <f t="shared" si="48"/>
        <v>140568.98000000001</v>
      </c>
      <c r="E144" s="9">
        <f t="shared" si="48"/>
        <v>127728.59</v>
      </c>
      <c r="F144" s="9">
        <f t="shared" si="48"/>
        <v>146006.44</v>
      </c>
      <c r="G144" s="9">
        <f t="shared" si="48"/>
        <v>123061.02</v>
      </c>
      <c r="H144" s="9">
        <f t="shared" si="48"/>
        <v>145199.34999999998</v>
      </c>
      <c r="I144" s="9">
        <f t="shared" si="48"/>
        <v>151790.57999999999</v>
      </c>
      <c r="J144" s="9">
        <f t="shared" si="48"/>
        <v>134358.21999999997</v>
      </c>
      <c r="K144" s="9">
        <f t="shared" si="48"/>
        <v>150977.09</v>
      </c>
      <c r="L144" s="9">
        <f t="shared" si="48"/>
        <v>139492.33000000002</v>
      </c>
      <c r="M144" s="9">
        <f t="shared" si="48"/>
        <v>120408.15999999999</v>
      </c>
      <c r="N144" s="9">
        <f t="shared" si="48"/>
        <v>1603507.4</v>
      </c>
    </row>
    <row r="146" spans="1:14" x14ac:dyDescent="0.2">
      <c r="A146" s="16" t="s">
        <v>103</v>
      </c>
    </row>
    <row r="147" spans="1:14" x14ac:dyDescent="0.2">
      <c r="A147" s="17" t="s">
        <v>104</v>
      </c>
      <c r="B147" s="10">
        <v>11600.09</v>
      </c>
      <c r="C147" s="10">
        <v>11971.61</v>
      </c>
      <c r="D147" s="10">
        <v>19893.45</v>
      </c>
      <c r="E147" s="10">
        <v>13201.74</v>
      </c>
      <c r="F147" s="10">
        <v>13012.56</v>
      </c>
      <c r="G147" s="10">
        <v>11943.51</v>
      </c>
      <c r="H147" s="10">
        <v>12580.13</v>
      </c>
      <c r="I147" s="10">
        <v>18557.95</v>
      </c>
      <c r="J147" s="10">
        <v>12248.22</v>
      </c>
      <c r="K147" s="10">
        <v>12474.72</v>
      </c>
      <c r="L147" s="10">
        <v>12331.44</v>
      </c>
      <c r="M147" s="10">
        <v>10854.12</v>
      </c>
      <c r="N147" s="10">
        <f t="shared" ref="N147:N152" si="49">B147+C147+D147+E147+F147+G147+H147+I147+J147+K147+L147+M147</f>
        <v>160669.53999999998</v>
      </c>
    </row>
    <row r="148" spans="1:14" x14ac:dyDescent="0.2">
      <c r="A148" s="17" t="s">
        <v>105</v>
      </c>
      <c r="B148" s="10">
        <v>591.29</v>
      </c>
      <c r="C148" s="10">
        <v>600.38</v>
      </c>
      <c r="D148" s="10">
        <v>670.05</v>
      </c>
      <c r="E148" s="10">
        <v>625.16999999999996</v>
      </c>
      <c r="F148" s="10">
        <v>679.82</v>
      </c>
      <c r="G148" s="10">
        <v>697.63</v>
      </c>
      <c r="H148" s="10">
        <v>731.72</v>
      </c>
      <c r="I148" s="10">
        <v>3161.41</v>
      </c>
      <c r="J148" s="10">
        <v>2882.04</v>
      </c>
      <c r="K148" s="10">
        <v>2855.63</v>
      </c>
      <c r="L148" s="10">
        <v>2817.99</v>
      </c>
      <c r="M148" s="10">
        <v>2850.11</v>
      </c>
      <c r="N148" s="10">
        <f t="shared" si="49"/>
        <v>19163.239999999998</v>
      </c>
    </row>
    <row r="149" spans="1:14" x14ac:dyDescent="0.2">
      <c r="A149" s="17" t="s">
        <v>106</v>
      </c>
      <c r="B149" s="10">
        <v>984.22</v>
      </c>
      <c r="C149" s="10">
        <v>2125.83</v>
      </c>
      <c r="D149" s="10">
        <v>1540.39</v>
      </c>
      <c r="E149" s="10">
        <v>2531.54</v>
      </c>
      <c r="F149" s="10">
        <v>1980.04</v>
      </c>
      <c r="G149" s="10">
        <v>2316.19</v>
      </c>
      <c r="H149" s="10">
        <v>2813.13</v>
      </c>
      <c r="I149" s="10">
        <v>1965.35</v>
      </c>
      <c r="J149" s="10">
        <v>2312.67</v>
      </c>
      <c r="K149" s="10">
        <v>2450.7600000000002</v>
      </c>
      <c r="L149" s="10">
        <v>2278.46</v>
      </c>
      <c r="M149" s="10">
        <v>2740.33</v>
      </c>
      <c r="N149" s="10">
        <f t="shared" si="49"/>
        <v>26038.910000000003</v>
      </c>
    </row>
    <row r="150" spans="1:14" x14ac:dyDescent="0.2">
      <c r="A150" s="17" t="s">
        <v>107</v>
      </c>
      <c r="B150" s="10">
        <v>10364.25</v>
      </c>
      <c r="C150" s="10">
        <v>1018</v>
      </c>
      <c r="D150" s="10">
        <v>5098.5200000000004</v>
      </c>
      <c r="E150" s="10">
        <v>3031.32</v>
      </c>
      <c r="F150" s="10">
        <v>977.12</v>
      </c>
      <c r="G150" s="10">
        <v>3103.68</v>
      </c>
      <c r="H150" s="10">
        <v>3039.28</v>
      </c>
      <c r="I150" s="10">
        <v>3551.56</v>
      </c>
      <c r="J150" s="10">
        <v>3523.39</v>
      </c>
      <c r="K150" s="10">
        <v>4718.7700000000004</v>
      </c>
      <c r="L150" s="10">
        <v>836.44</v>
      </c>
      <c r="M150" s="10">
        <v>3588.08</v>
      </c>
      <c r="N150" s="10">
        <f t="shared" si="49"/>
        <v>42850.41</v>
      </c>
    </row>
    <row r="151" spans="1:14" x14ac:dyDescent="0.2">
      <c r="A151" s="17" t="s">
        <v>108</v>
      </c>
      <c r="B151" s="10">
        <v>1884.51</v>
      </c>
      <c r="C151" s="10">
        <v>2191.94</v>
      </c>
      <c r="D151" s="10">
        <v>1448.2</v>
      </c>
      <c r="E151" s="10">
        <v>1482.76</v>
      </c>
      <c r="F151" s="10">
        <v>674.32</v>
      </c>
      <c r="G151" s="10">
        <v>794.16</v>
      </c>
      <c r="H151" s="10">
        <v>62.2</v>
      </c>
      <c r="I151" s="10">
        <v>1493.36</v>
      </c>
      <c r="J151" s="10">
        <v>1194.24</v>
      </c>
      <c r="K151" s="10">
        <v>1787.78</v>
      </c>
      <c r="L151" s="10">
        <v>2015.53</v>
      </c>
      <c r="M151" s="10">
        <v>1722.88</v>
      </c>
      <c r="N151" s="10">
        <f t="shared" si="49"/>
        <v>16751.88</v>
      </c>
    </row>
    <row r="152" spans="1:14" x14ac:dyDescent="0.2">
      <c r="A152" s="17" t="s">
        <v>109</v>
      </c>
      <c r="B152" s="10">
        <v>8683.42</v>
      </c>
      <c r="C152" s="10">
        <v>0</v>
      </c>
      <c r="D152" s="10">
        <v>4250.6499999999996</v>
      </c>
      <c r="E152" s="10">
        <v>0</v>
      </c>
      <c r="F152" s="10">
        <v>0</v>
      </c>
      <c r="G152" s="10">
        <v>8502.42</v>
      </c>
      <c r="H152" s="10">
        <v>4226.74</v>
      </c>
      <c r="I152" s="10">
        <v>310.24</v>
      </c>
      <c r="J152" s="10">
        <v>3661.86</v>
      </c>
      <c r="K152" s="10">
        <v>0</v>
      </c>
      <c r="L152" s="10">
        <v>0</v>
      </c>
      <c r="M152" s="10">
        <v>3922.5</v>
      </c>
      <c r="N152" s="10">
        <f t="shared" si="49"/>
        <v>33557.83</v>
      </c>
    </row>
    <row r="153" spans="1:14" x14ac:dyDescent="0.2">
      <c r="A153" s="16" t="s">
        <v>110</v>
      </c>
      <c r="B153" s="9">
        <f t="shared" ref="B153:N153" si="50">SUM(B147:B152)</f>
        <v>34107.78</v>
      </c>
      <c r="C153" s="9">
        <f t="shared" si="50"/>
        <v>17907.759999999998</v>
      </c>
      <c r="D153" s="9">
        <f t="shared" si="50"/>
        <v>32901.26</v>
      </c>
      <c r="E153" s="9">
        <f t="shared" si="50"/>
        <v>20872.53</v>
      </c>
      <c r="F153" s="9">
        <f t="shared" si="50"/>
        <v>17323.859999999997</v>
      </c>
      <c r="G153" s="9">
        <f t="shared" si="50"/>
        <v>27357.589999999997</v>
      </c>
      <c r="H153" s="9">
        <f t="shared" si="50"/>
        <v>23453.199999999997</v>
      </c>
      <c r="I153" s="9">
        <f t="shared" si="50"/>
        <v>29039.870000000003</v>
      </c>
      <c r="J153" s="9">
        <f t="shared" si="50"/>
        <v>25822.420000000002</v>
      </c>
      <c r="K153" s="9">
        <f t="shared" si="50"/>
        <v>24287.66</v>
      </c>
      <c r="L153" s="9">
        <f t="shared" si="50"/>
        <v>20279.859999999997</v>
      </c>
      <c r="M153" s="9">
        <f t="shared" si="50"/>
        <v>25678.02</v>
      </c>
      <c r="N153" s="9">
        <f t="shared" si="50"/>
        <v>299031.81</v>
      </c>
    </row>
    <row r="154" spans="1:14" ht="4.95" customHeight="1" x14ac:dyDescent="0.2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spans="1:14" ht="4.95" customHeight="1" x14ac:dyDescent="0.2"/>
    <row r="156" spans="1:14" x14ac:dyDescent="0.2">
      <c r="A156" s="16" t="s">
        <v>111</v>
      </c>
      <c r="B156" s="9">
        <f t="shared" ref="B156:N156" si="51">B144+B153</f>
        <v>139411.32</v>
      </c>
      <c r="C156" s="9">
        <f t="shared" si="51"/>
        <v>136520.85999999999</v>
      </c>
      <c r="D156" s="9">
        <f t="shared" si="51"/>
        <v>173470.24000000002</v>
      </c>
      <c r="E156" s="9">
        <f t="shared" si="51"/>
        <v>148601.12</v>
      </c>
      <c r="F156" s="9">
        <f t="shared" si="51"/>
        <v>163330.29999999999</v>
      </c>
      <c r="G156" s="9">
        <f t="shared" si="51"/>
        <v>150418.60999999999</v>
      </c>
      <c r="H156" s="9">
        <f t="shared" si="51"/>
        <v>168652.55</v>
      </c>
      <c r="I156" s="9">
        <f t="shared" si="51"/>
        <v>180830.44999999998</v>
      </c>
      <c r="J156" s="9">
        <f t="shared" si="51"/>
        <v>160180.63999999998</v>
      </c>
      <c r="K156" s="9">
        <f t="shared" si="51"/>
        <v>175264.75</v>
      </c>
      <c r="L156" s="9">
        <f t="shared" si="51"/>
        <v>159772.19</v>
      </c>
      <c r="M156" s="9">
        <f t="shared" si="51"/>
        <v>146086.18</v>
      </c>
      <c r="N156" s="9">
        <f t="shared" si="51"/>
        <v>1902539.21</v>
      </c>
    </row>
    <row r="157" spans="1:14" ht="4.95" customHeight="1" x14ac:dyDescent="0.2"/>
    <row r="158" spans="1:14" x14ac:dyDescent="0.2">
      <c r="A158" s="16" t="s">
        <v>112</v>
      </c>
    </row>
    <row r="159" spans="1:14" x14ac:dyDescent="0.2">
      <c r="A159" s="17" t="s">
        <v>113</v>
      </c>
      <c r="B159" s="10">
        <v>258.33999999999997</v>
      </c>
      <c r="C159" s="10">
        <v>1189.47</v>
      </c>
      <c r="D159" s="10">
        <v>1882.87</v>
      </c>
      <c r="E159" s="10">
        <v>681.34</v>
      </c>
      <c r="F159" s="10">
        <v>546.89</v>
      </c>
      <c r="G159" s="10">
        <v>265.97000000000003</v>
      </c>
      <c r="H159" s="10">
        <v>1201.1099999999999</v>
      </c>
      <c r="I159" s="10">
        <v>832.08</v>
      </c>
      <c r="J159" s="10">
        <v>1206.6400000000001</v>
      </c>
      <c r="K159" s="10">
        <v>1573.93</v>
      </c>
      <c r="L159" s="10">
        <v>882.62</v>
      </c>
      <c r="M159" s="10">
        <v>711.58</v>
      </c>
      <c r="N159" s="10">
        <f t="shared" ref="N159:N182" si="52">B159+C159+D159+E159+F159+G159+H159+I159+J159+K159+L159+M159</f>
        <v>11232.84</v>
      </c>
    </row>
    <row r="160" spans="1:14" x14ac:dyDescent="0.2">
      <c r="A160" s="17" t="s">
        <v>114</v>
      </c>
      <c r="B160" s="10">
        <v>18451.55</v>
      </c>
      <c r="C160" s="10">
        <v>26790.69</v>
      </c>
      <c r="D160" s="10">
        <v>23706.29</v>
      </c>
      <c r="E160" s="10">
        <v>21236.9</v>
      </c>
      <c r="F160" s="10">
        <v>21959.13</v>
      </c>
      <c r="G160" s="10">
        <v>8869.92</v>
      </c>
      <c r="H160" s="10">
        <v>21650.87</v>
      </c>
      <c r="I160" s="10">
        <v>22205.3</v>
      </c>
      <c r="J160" s="10">
        <v>21392.3</v>
      </c>
      <c r="K160" s="10">
        <v>20523.41</v>
      </c>
      <c r="L160" s="10">
        <v>27136.14</v>
      </c>
      <c r="M160" s="10">
        <v>25970.45</v>
      </c>
      <c r="N160" s="10">
        <f t="shared" si="52"/>
        <v>259892.95</v>
      </c>
    </row>
    <row r="161" spans="1:14" x14ac:dyDescent="0.2">
      <c r="A161" s="17" t="s">
        <v>115</v>
      </c>
      <c r="B161" s="10">
        <v>4055.94</v>
      </c>
      <c r="C161" s="10">
        <v>4295.12</v>
      </c>
      <c r="D161" s="10">
        <v>4513.78</v>
      </c>
      <c r="E161" s="10">
        <v>5422.26</v>
      </c>
      <c r="F161" s="10">
        <v>4061.35</v>
      </c>
      <c r="G161" s="10">
        <v>4061.35</v>
      </c>
      <c r="H161" s="10">
        <v>7935.61</v>
      </c>
      <c r="I161" s="10">
        <v>4061.35</v>
      </c>
      <c r="J161" s="10">
        <v>4736.54</v>
      </c>
      <c r="K161" s="10">
        <v>4155.9799999999996</v>
      </c>
      <c r="L161" s="10">
        <v>4827.47</v>
      </c>
      <c r="M161" s="10">
        <v>4150.96</v>
      </c>
      <c r="N161" s="10">
        <f t="shared" si="52"/>
        <v>56277.71</v>
      </c>
    </row>
    <row r="162" spans="1:14" x14ac:dyDescent="0.2">
      <c r="A162" s="17" t="s">
        <v>116</v>
      </c>
      <c r="B162" s="10">
        <v>0</v>
      </c>
      <c r="C162" s="10">
        <v>602.61</v>
      </c>
      <c r="D162" s="10">
        <v>70.97</v>
      </c>
      <c r="E162" s="10">
        <v>575.44000000000005</v>
      </c>
      <c r="F162" s="10">
        <v>760.19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f t="shared" si="52"/>
        <v>2009.21</v>
      </c>
    </row>
    <row r="163" spans="1:14" x14ac:dyDescent="0.2">
      <c r="A163" s="17" t="s">
        <v>117</v>
      </c>
      <c r="B163" s="10">
        <v>-495.84</v>
      </c>
      <c r="C163" s="10">
        <v>-106.56</v>
      </c>
      <c r="D163" s="10">
        <v>609.94000000000005</v>
      </c>
      <c r="E163" s="10">
        <v>0</v>
      </c>
      <c r="F163" s="10">
        <v>0</v>
      </c>
      <c r="G163" s="10">
        <v>0</v>
      </c>
      <c r="H163" s="10">
        <v>0</v>
      </c>
      <c r="I163" s="10">
        <v>685.31</v>
      </c>
      <c r="J163" s="10">
        <v>447.61</v>
      </c>
      <c r="K163" s="10">
        <v>125</v>
      </c>
      <c r="L163" s="10">
        <v>25</v>
      </c>
      <c r="M163" s="10">
        <v>0</v>
      </c>
      <c r="N163" s="10">
        <f t="shared" si="52"/>
        <v>1290.46</v>
      </c>
    </row>
    <row r="164" spans="1:14" x14ac:dyDescent="0.2">
      <c r="A164" s="17" t="s">
        <v>118</v>
      </c>
      <c r="B164" s="10">
        <v>0</v>
      </c>
      <c r="C164" s="10">
        <v>49.38</v>
      </c>
      <c r="D164" s="10">
        <v>409.92</v>
      </c>
      <c r="E164" s="10">
        <v>0</v>
      </c>
      <c r="F164" s="10">
        <v>0</v>
      </c>
      <c r="G164" s="10">
        <v>588.08000000000004</v>
      </c>
      <c r="H164" s="10">
        <v>394.8</v>
      </c>
      <c r="I164" s="10">
        <v>673.11</v>
      </c>
      <c r="J164" s="10">
        <v>0</v>
      </c>
      <c r="K164" s="10">
        <v>0</v>
      </c>
      <c r="L164" s="10">
        <v>98.1</v>
      </c>
      <c r="M164" s="10">
        <v>0</v>
      </c>
      <c r="N164" s="10">
        <f t="shared" si="52"/>
        <v>2213.39</v>
      </c>
    </row>
    <row r="165" spans="1:14" x14ac:dyDescent="0.2">
      <c r="A165" s="17" t="s">
        <v>119</v>
      </c>
      <c r="B165" s="10">
        <v>183.9</v>
      </c>
      <c r="C165" s="10">
        <v>79.2</v>
      </c>
      <c r="D165" s="10">
        <v>221.55</v>
      </c>
      <c r="E165" s="10">
        <v>59.4</v>
      </c>
      <c r="F165" s="10">
        <v>413.13</v>
      </c>
      <c r="G165" s="10">
        <v>3674.09</v>
      </c>
      <c r="H165" s="10">
        <v>173.4</v>
      </c>
      <c r="I165" s="10">
        <v>0</v>
      </c>
      <c r="J165" s="10">
        <v>216.12</v>
      </c>
      <c r="K165" s="10">
        <v>988.65</v>
      </c>
      <c r="L165" s="10">
        <v>934.53</v>
      </c>
      <c r="M165" s="10">
        <v>192.96</v>
      </c>
      <c r="N165" s="10">
        <f t="shared" si="52"/>
        <v>7136.9299999999994</v>
      </c>
    </row>
    <row r="166" spans="1:14" x14ac:dyDescent="0.2">
      <c r="A166" s="17" t="s">
        <v>120</v>
      </c>
      <c r="B166" s="10">
        <v>310.37</v>
      </c>
      <c r="C166" s="10">
        <v>311.33999999999997</v>
      </c>
      <c r="D166" s="10">
        <v>311.74</v>
      </c>
      <c r="E166" s="10">
        <v>311.02999999999997</v>
      </c>
      <c r="F166" s="10">
        <v>365.74</v>
      </c>
      <c r="G166" s="10">
        <v>341.38</v>
      </c>
      <c r="H166" s="10">
        <v>342.1</v>
      </c>
      <c r="I166" s="10">
        <v>343.71</v>
      </c>
      <c r="J166" s="10">
        <v>343.28</v>
      </c>
      <c r="K166" s="10">
        <v>366.92</v>
      </c>
      <c r="L166" s="10">
        <v>379.87</v>
      </c>
      <c r="M166" s="10">
        <v>344.13</v>
      </c>
      <c r="N166" s="10">
        <f t="shared" si="52"/>
        <v>4071.6099999999997</v>
      </c>
    </row>
    <row r="167" spans="1:14" x14ac:dyDescent="0.2">
      <c r="A167" s="17" t="s">
        <v>121</v>
      </c>
      <c r="B167" s="10">
        <v>0</v>
      </c>
      <c r="C167" s="10">
        <v>0</v>
      </c>
      <c r="D167" s="10">
        <v>194.64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f t="shared" si="52"/>
        <v>194.64</v>
      </c>
    </row>
    <row r="168" spans="1:14" x14ac:dyDescent="0.2">
      <c r="A168" s="17" t="s">
        <v>122</v>
      </c>
      <c r="B168" s="10">
        <v>2439.98</v>
      </c>
      <c r="C168" s="10">
        <v>6832.27</v>
      </c>
      <c r="D168" s="10">
        <v>7237.35</v>
      </c>
      <c r="E168" s="10">
        <v>4546.71</v>
      </c>
      <c r="F168" s="10">
        <v>9383.15</v>
      </c>
      <c r="G168" s="10">
        <v>4158.6499999999996</v>
      </c>
      <c r="H168" s="10">
        <v>6666.13</v>
      </c>
      <c r="I168" s="10">
        <v>7825.08</v>
      </c>
      <c r="J168" s="10">
        <v>4475.43</v>
      </c>
      <c r="K168" s="10">
        <v>11084.15</v>
      </c>
      <c r="L168" s="10">
        <v>6721.19</v>
      </c>
      <c r="M168" s="10">
        <v>4850.41</v>
      </c>
      <c r="N168" s="10">
        <f t="shared" si="52"/>
        <v>76220.5</v>
      </c>
    </row>
    <row r="169" spans="1:14" x14ac:dyDescent="0.2">
      <c r="A169" s="17" t="s">
        <v>123</v>
      </c>
      <c r="B169" s="10">
        <v>320.10000000000002</v>
      </c>
      <c r="C169" s="10">
        <v>585.16999999999996</v>
      </c>
      <c r="D169" s="10">
        <v>496.6</v>
      </c>
      <c r="E169" s="10">
        <v>3031.3</v>
      </c>
      <c r="F169" s="10">
        <v>644.4</v>
      </c>
      <c r="G169" s="10">
        <v>950.5</v>
      </c>
      <c r="H169" s="10">
        <v>134.75</v>
      </c>
      <c r="I169" s="10">
        <v>0</v>
      </c>
      <c r="J169" s="10">
        <v>287.61</v>
      </c>
      <c r="K169" s="10">
        <v>204.15</v>
      </c>
      <c r="L169" s="10">
        <v>467.41</v>
      </c>
      <c r="M169" s="10">
        <v>581.75</v>
      </c>
      <c r="N169" s="10">
        <f t="shared" si="52"/>
        <v>7703.7399999999989</v>
      </c>
    </row>
    <row r="170" spans="1:14" x14ac:dyDescent="0.2">
      <c r="A170" s="17" t="s">
        <v>124</v>
      </c>
      <c r="B170" s="10">
        <v>68.2</v>
      </c>
      <c r="C170" s="10">
        <v>0</v>
      </c>
      <c r="D170" s="10">
        <v>700.73</v>
      </c>
      <c r="E170" s="10">
        <v>741.84</v>
      </c>
      <c r="F170" s="10">
        <v>459.52</v>
      </c>
      <c r="G170" s="10">
        <v>0</v>
      </c>
      <c r="H170" s="10">
        <v>0</v>
      </c>
      <c r="I170" s="10">
        <v>278.33</v>
      </c>
      <c r="J170" s="10">
        <v>931.04</v>
      </c>
      <c r="K170" s="10">
        <v>237.09</v>
      </c>
      <c r="L170" s="10">
        <v>1261.03</v>
      </c>
      <c r="M170" s="10">
        <v>-26.08</v>
      </c>
      <c r="N170" s="10">
        <f t="shared" si="52"/>
        <v>4651.7</v>
      </c>
    </row>
    <row r="171" spans="1:14" ht="20.399999999999999" x14ac:dyDescent="0.2">
      <c r="A171" s="17" t="s">
        <v>125</v>
      </c>
      <c r="B171" s="10">
        <v>0</v>
      </c>
      <c r="C171" s="10">
        <v>0</v>
      </c>
      <c r="D171" s="10">
        <v>0</v>
      </c>
      <c r="E171" s="10">
        <v>0</v>
      </c>
      <c r="F171" s="10">
        <v>0</v>
      </c>
      <c r="G171" s="10">
        <v>0</v>
      </c>
      <c r="H171" s="10">
        <v>108.99</v>
      </c>
      <c r="I171" s="10">
        <v>0</v>
      </c>
      <c r="J171" s="10">
        <v>0</v>
      </c>
      <c r="K171" s="10">
        <v>0</v>
      </c>
      <c r="L171" s="10">
        <v>0</v>
      </c>
      <c r="M171" s="10">
        <v>175.44</v>
      </c>
      <c r="N171" s="10">
        <f t="shared" si="52"/>
        <v>284.43</v>
      </c>
    </row>
    <row r="172" spans="1:14" x14ac:dyDescent="0.2">
      <c r="A172" s="17" t="s">
        <v>126</v>
      </c>
      <c r="B172" s="10">
        <v>506.24</v>
      </c>
      <c r="C172" s="10">
        <v>811.01</v>
      </c>
      <c r="D172" s="10">
        <v>1166.1400000000001</v>
      </c>
      <c r="E172" s="10">
        <v>873</v>
      </c>
      <c r="F172" s="10">
        <v>1627.38</v>
      </c>
      <c r="G172" s="10">
        <v>586.03</v>
      </c>
      <c r="H172" s="10">
        <v>2093.1</v>
      </c>
      <c r="I172" s="10">
        <v>1110.23</v>
      </c>
      <c r="J172" s="10">
        <v>4057.82</v>
      </c>
      <c r="K172" s="10">
        <v>763.97</v>
      </c>
      <c r="L172" s="10">
        <v>1679.46</v>
      </c>
      <c r="M172" s="10">
        <v>512.23</v>
      </c>
      <c r="N172" s="10">
        <f t="shared" si="52"/>
        <v>15786.609999999997</v>
      </c>
    </row>
    <row r="173" spans="1:14" x14ac:dyDescent="0.2">
      <c r="A173" s="17" t="s">
        <v>127</v>
      </c>
      <c r="B173" s="10">
        <v>0</v>
      </c>
      <c r="C173" s="10">
        <v>2853.83</v>
      </c>
      <c r="D173" s="10">
        <v>5515.68</v>
      </c>
      <c r="E173" s="10">
        <v>5165.53</v>
      </c>
      <c r="F173" s="10">
        <v>0</v>
      </c>
      <c r="G173" s="10">
        <v>0</v>
      </c>
      <c r="H173" s="10">
        <v>9680</v>
      </c>
      <c r="I173" s="10">
        <v>13849.61</v>
      </c>
      <c r="J173" s="10">
        <v>9680</v>
      </c>
      <c r="K173" s="10">
        <v>12109.95</v>
      </c>
      <c r="L173" s="10">
        <v>9680</v>
      </c>
      <c r="M173" s="10">
        <v>9680.02</v>
      </c>
      <c r="N173" s="10">
        <f t="shared" si="52"/>
        <v>78214.62000000001</v>
      </c>
    </row>
    <row r="174" spans="1:14" x14ac:dyDescent="0.2">
      <c r="A174" s="17" t="s">
        <v>128</v>
      </c>
      <c r="B174" s="10">
        <v>3527.93</v>
      </c>
      <c r="C174" s="10">
        <v>1050.95</v>
      </c>
      <c r="D174" s="10">
        <v>374.45</v>
      </c>
      <c r="E174" s="10">
        <v>2519.0700000000002</v>
      </c>
      <c r="F174" s="10">
        <v>-1280.3900000000001</v>
      </c>
      <c r="G174" s="10">
        <v>-208.55</v>
      </c>
      <c r="H174" s="10">
        <v>2612.4699999999998</v>
      </c>
      <c r="I174" s="10">
        <v>-59.08</v>
      </c>
      <c r="J174" s="10">
        <v>400.25</v>
      </c>
      <c r="K174" s="10">
        <v>197.45</v>
      </c>
      <c r="L174" s="10">
        <v>1867.16</v>
      </c>
      <c r="M174" s="10">
        <v>478.47</v>
      </c>
      <c r="N174" s="10">
        <f t="shared" si="52"/>
        <v>11480.179999999998</v>
      </c>
    </row>
    <row r="175" spans="1:14" x14ac:dyDescent="0.2">
      <c r="A175" s="17" t="s">
        <v>129</v>
      </c>
      <c r="B175" s="10">
        <v>113.89</v>
      </c>
      <c r="C175" s="10">
        <v>113.89</v>
      </c>
      <c r="D175" s="10">
        <v>113.89</v>
      </c>
      <c r="E175" s="10">
        <v>113.89</v>
      </c>
      <c r="F175" s="10">
        <v>113.89</v>
      </c>
      <c r="G175" s="10">
        <v>113.89</v>
      </c>
      <c r="H175" s="10">
        <v>113.89</v>
      </c>
      <c r="I175" s="10">
        <v>113.89</v>
      </c>
      <c r="J175" s="10">
        <v>113.89</v>
      </c>
      <c r="K175" s="10">
        <v>113.89</v>
      </c>
      <c r="L175" s="10">
        <v>113.89</v>
      </c>
      <c r="M175" s="10">
        <v>113.89</v>
      </c>
      <c r="N175" s="10">
        <f t="shared" si="52"/>
        <v>1366.6800000000003</v>
      </c>
    </row>
    <row r="176" spans="1:14" x14ac:dyDescent="0.2">
      <c r="A176" s="17" t="s">
        <v>130</v>
      </c>
      <c r="B176" s="10">
        <v>0</v>
      </c>
      <c r="C176" s="10">
        <v>0</v>
      </c>
      <c r="D176" s="10">
        <v>0</v>
      </c>
      <c r="E176" s="10">
        <v>476.49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-138.22</v>
      </c>
      <c r="N176" s="10">
        <f t="shared" si="52"/>
        <v>338.27</v>
      </c>
    </row>
    <row r="177" spans="1:14" x14ac:dyDescent="0.2">
      <c r="A177" s="17" t="s">
        <v>131</v>
      </c>
      <c r="B177" s="10">
        <v>14.11</v>
      </c>
      <c r="C177" s="10">
        <v>31.26</v>
      </c>
      <c r="D177" s="10">
        <v>19.149999999999999</v>
      </c>
      <c r="E177" s="10">
        <v>14.3</v>
      </c>
      <c r="F177" s="10">
        <v>386.84</v>
      </c>
      <c r="G177" s="10">
        <v>45.96</v>
      </c>
      <c r="H177" s="10">
        <v>64.81</v>
      </c>
      <c r="I177" s="10">
        <v>92.52</v>
      </c>
      <c r="J177" s="10">
        <v>132.91</v>
      </c>
      <c r="K177" s="10">
        <v>441.01</v>
      </c>
      <c r="L177" s="10">
        <v>248.1</v>
      </c>
      <c r="M177" s="10">
        <v>94.58</v>
      </c>
      <c r="N177" s="10">
        <f t="shared" si="52"/>
        <v>1585.5499999999997</v>
      </c>
    </row>
    <row r="178" spans="1:14" x14ac:dyDescent="0.2">
      <c r="A178" s="17" t="s">
        <v>132</v>
      </c>
      <c r="B178" s="10">
        <v>426.63</v>
      </c>
      <c r="C178" s="10">
        <v>348.65</v>
      </c>
      <c r="D178" s="10">
        <v>361.73</v>
      </c>
      <c r="E178" s="10">
        <v>242.8</v>
      </c>
      <c r="F178" s="10">
        <v>518.04</v>
      </c>
      <c r="G178" s="10">
        <v>104.86</v>
      </c>
      <c r="H178" s="10">
        <v>124.22</v>
      </c>
      <c r="I178" s="10">
        <v>332.25</v>
      </c>
      <c r="J178" s="10">
        <v>217.07</v>
      </c>
      <c r="K178" s="10">
        <v>-120.37</v>
      </c>
      <c r="L178" s="10">
        <v>84.79</v>
      </c>
      <c r="M178" s="10">
        <v>-29.06</v>
      </c>
      <c r="N178" s="10">
        <f t="shared" si="52"/>
        <v>2611.61</v>
      </c>
    </row>
    <row r="179" spans="1:14" x14ac:dyDescent="0.2">
      <c r="A179" s="17" t="s">
        <v>133</v>
      </c>
      <c r="B179" s="10">
        <v>1535.4</v>
      </c>
      <c r="C179" s="10">
        <v>2960.05</v>
      </c>
      <c r="D179" s="10">
        <v>1801.66</v>
      </c>
      <c r="E179" s="10">
        <v>746.66</v>
      </c>
      <c r="F179" s="10">
        <v>732.38</v>
      </c>
      <c r="G179" s="10">
        <v>488.92</v>
      </c>
      <c r="H179" s="10">
        <v>670.52</v>
      </c>
      <c r="I179" s="10">
        <v>493.26</v>
      </c>
      <c r="J179" s="10">
        <v>889.11</v>
      </c>
      <c r="K179" s="10">
        <v>1150.33</v>
      </c>
      <c r="L179" s="10">
        <v>883.69</v>
      </c>
      <c r="M179" s="10">
        <v>389.55</v>
      </c>
      <c r="N179" s="10">
        <f t="shared" si="52"/>
        <v>12741.53</v>
      </c>
    </row>
    <row r="180" spans="1:14" x14ac:dyDescent="0.2">
      <c r="A180" s="17" t="s">
        <v>134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19.239999999999998</v>
      </c>
      <c r="K180" s="10">
        <v>0</v>
      </c>
      <c r="L180" s="10">
        <v>0</v>
      </c>
      <c r="M180" s="10">
        <v>0</v>
      </c>
      <c r="N180" s="10">
        <f t="shared" si="52"/>
        <v>19.239999999999998</v>
      </c>
    </row>
    <row r="181" spans="1:14" x14ac:dyDescent="0.2">
      <c r="A181" s="17" t="s">
        <v>135</v>
      </c>
      <c r="B181" s="10">
        <v>254.74</v>
      </c>
      <c r="C181" s="10">
        <v>210.43</v>
      </c>
      <c r="D181" s="10">
        <v>272.41000000000003</v>
      </c>
      <c r="E181" s="10">
        <v>386.42</v>
      </c>
      <c r="F181" s="10">
        <v>363.36</v>
      </c>
      <c r="G181" s="10">
        <v>3.69</v>
      </c>
      <c r="H181" s="10">
        <v>2</v>
      </c>
      <c r="I181" s="10">
        <v>290</v>
      </c>
      <c r="J181" s="10">
        <v>251.26</v>
      </c>
      <c r="K181" s="10">
        <v>12.99</v>
      </c>
      <c r="L181" s="10">
        <v>165.52</v>
      </c>
      <c r="M181" s="10">
        <v>0</v>
      </c>
      <c r="N181" s="10">
        <f t="shared" si="52"/>
        <v>2212.8200000000002</v>
      </c>
    </row>
    <row r="182" spans="1:14" x14ac:dyDescent="0.2">
      <c r="A182" s="17" t="s">
        <v>136</v>
      </c>
      <c r="B182" s="10">
        <v>5580</v>
      </c>
      <c r="C182" s="10">
        <v>6384</v>
      </c>
      <c r="D182" s="10">
        <v>7068</v>
      </c>
      <c r="E182" s="10">
        <v>6840</v>
      </c>
      <c r="F182" s="10">
        <v>7068</v>
      </c>
      <c r="G182" s="10">
        <v>6840</v>
      </c>
      <c r="H182" s="10">
        <v>7068</v>
      </c>
      <c r="I182" s="10">
        <v>7068</v>
      </c>
      <c r="J182" s="10">
        <v>6840</v>
      </c>
      <c r="K182" s="10">
        <v>7068</v>
      </c>
      <c r="L182" s="10">
        <v>3840</v>
      </c>
      <c r="M182" s="10">
        <v>7068</v>
      </c>
      <c r="N182" s="10">
        <f t="shared" si="52"/>
        <v>78732</v>
      </c>
    </row>
    <row r="183" spans="1:14" ht="4.95" customHeight="1" x14ac:dyDescent="0.2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spans="1:14" ht="4.95" customHeight="1" x14ac:dyDescent="0.2"/>
    <row r="185" spans="1:14" x14ac:dyDescent="0.2">
      <c r="A185" s="16" t="s">
        <v>137</v>
      </c>
      <c r="B185" s="9">
        <f t="shared" ref="B185:N185" si="53">SUM(B159:B182)</f>
        <v>37551.480000000003</v>
      </c>
      <c r="C185" s="9">
        <f t="shared" si="53"/>
        <v>55392.759999999995</v>
      </c>
      <c r="D185" s="9">
        <f t="shared" si="53"/>
        <v>57049.490000000005</v>
      </c>
      <c r="E185" s="9">
        <f t="shared" si="53"/>
        <v>53984.380000000005</v>
      </c>
      <c r="F185" s="9">
        <f t="shared" si="53"/>
        <v>48122.999999999993</v>
      </c>
      <c r="G185" s="9">
        <f t="shared" si="53"/>
        <v>30884.739999999998</v>
      </c>
      <c r="H185" s="9">
        <f t="shared" si="53"/>
        <v>61036.76999999999</v>
      </c>
      <c r="I185" s="9">
        <f t="shared" si="53"/>
        <v>60194.950000000004</v>
      </c>
      <c r="J185" s="9">
        <f t="shared" si="53"/>
        <v>56638.12</v>
      </c>
      <c r="K185" s="9">
        <f t="shared" si="53"/>
        <v>60996.499999999993</v>
      </c>
      <c r="L185" s="9">
        <f t="shared" si="53"/>
        <v>61295.97</v>
      </c>
      <c r="M185" s="9">
        <f t="shared" si="53"/>
        <v>55121.060000000012</v>
      </c>
      <c r="N185" s="9">
        <f t="shared" si="53"/>
        <v>638269.2200000002</v>
      </c>
    </row>
    <row r="186" spans="1:14" ht="4.95" customHeight="1" x14ac:dyDescent="0.2"/>
    <row r="187" spans="1:14" ht="4.95" customHeight="1" x14ac:dyDescent="0.2"/>
    <row r="188" spans="1:14" x14ac:dyDescent="0.2">
      <c r="A188" s="16" t="s">
        <v>138</v>
      </c>
      <c r="B188" s="9">
        <f t="shared" ref="B188:N188" si="54">B156+B185</f>
        <v>176962.80000000002</v>
      </c>
      <c r="C188" s="9">
        <f t="shared" si="54"/>
        <v>191913.62</v>
      </c>
      <c r="D188" s="9">
        <f t="shared" si="54"/>
        <v>230519.73000000004</v>
      </c>
      <c r="E188" s="9">
        <f t="shared" si="54"/>
        <v>202585.5</v>
      </c>
      <c r="F188" s="9">
        <f t="shared" si="54"/>
        <v>211453.3</v>
      </c>
      <c r="G188" s="9">
        <f t="shared" si="54"/>
        <v>181303.34999999998</v>
      </c>
      <c r="H188" s="9">
        <f t="shared" si="54"/>
        <v>229689.31999999998</v>
      </c>
      <c r="I188" s="9">
        <f t="shared" si="54"/>
        <v>241025.4</v>
      </c>
      <c r="J188" s="9">
        <f t="shared" si="54"/>
        <v>216818.75999999998</v>
      </c>
      <c r="K188" s="9">
        <f t="shared" si="54"/>
        <v>236261.25</v>
      </c>
      <c r="L188" s="9">
        <f t="shared" si="54"/>
        <v>221068.16</v>
      </c>
      <c r="M188" s="9">
        <f t="shared" si="54"/>
        <v>201207.24</v>
      </c>
      <c r="N188" s="9">
        <f t="shared" si="54"/>
        <v>2540808.4300000002</v>
      </c>
    </row>
    <row r="189" spans="1:14" ht="4.95" customHeight="1" x14ac:dyDescent="0.2"/>
    <row r="190" spans="1:14" x14ac:dyDescent="0.2">
      <c r="A190" s="7" t="s">
        <v>139</v>
      </c>
      <c r="B190" s="9">
        <f t="shared" ref="B190:N190" si="55">B121-B188</f>
        <v>481196.15</v>
      </c>
      <c r="C190" s="9">
        <f t="shared" si="55"/>
        <v>844371.88000000012</v>
      </c>
      <c r="D190" s="9">
        <f t="shared" si="55"/>
        <v>1051678.32</v>
      </c>
      <c r="E190" s="9">
        <f t="shared" si="55"/>
        <v>831179.89000000013</v>
      </c>
      <c r="F190" s="9">
        <f t="shared" si="55"/>
        <v>802136.85999999987</v>
      </c>
      <c r="G190" s="9">
        <f t="shared" si="55"/>
        <v>699614.45000000007</v>
      </c>
      <c r="H190" s="9">
        <f t="shared" si="55"/>
        <v>502419.27</v>
      </c>
      <c r="I190" s="9">
        <f t="shared" si="55"/>
        <v>530118.83000000007</v>
      </c>
      <c r="J190" s="9">
        <f t="shared" si="55"/>
        <v>592422.50000000012</v>
      </c>
      <c r="K190" s="9">
        <f t="shared" si="55"/>
        <v>684257.44</v>
      </c>
      <c r="L190" s="9">
        <f t="shared" si="55"/>
        <v>687358.57</v>
      </c>
      <c r="M190" s="9">
        <f t="shared" si="55"/>
        <v>406430.04000000004</v>
      </c>
      <c r="N190" s="9">
        <f t="shared" si="55"/>
        <v>8113184.2000000011</v>
      </c>
    </row>
    <row r="191" spans="1:14" ht="4.95" customHeight="1" x14ac:dyDescent="0.2"/>
    <row r="192" spans="1:14" x14ac:dyDescent="0.2">
      <c r="A192" s="16" t="s">
        <v>140</v>
      </c>
    </row>
    <row r="193" spans="1:14" x14ac:dyDescent="0.2">
      <c r="A193" s="16" t="s">
        <v>20</v>
      </c>
    </row>
    <row r="194" spans="1:14" x14ac:dyDescent="0.2">
      <c r="A194" s="17" t="s">
        <v>141</v>
      </c>
      <c r="B194" s="18">
        <v>1386</v>
      </c>
      <c r="C194" s="18">
        <v>1712</v>
      </c>
      <c r="D194" s="18">
        <v>2129</v>
      </c>
      <c r="E194" s="18">
        <v>1578</v>
      </c>
      <c r="F194" s="18">
        <v>1896</v>
      </c>
      <c r="G194" s="18">
        <v>1855</v>
      </c>
      <c r="H194" s="18">
        <v>2173</v>
      </c>
      <c r="I194" s="18">
        <v>2318</v>
      </c>
      <c r="J194" s="18">
        <v>1917</v>
      </c>
      <c r="K194" s="18">
        <v>2110</v>
      </c>
      <c r="L194" s="18">
        <v>2190</v>
      </c>
      <c r="M194" s="18">
        <v>1724</v>
      </c>
      <c r="N194" s="18">
        <f t="shared" ref="N194:N205" si="56">B194+C194+D194+E194+F194+G194+H194+I194+J194+K194+L194+M194</f>
        <v>22988</v>
      </c>
    </row>
    <row r="195" spans="1:14" x14ac:dyDescent="0.2">
      <c r="A195" s="17" t="s">
        <v>142</v>
      </c>
      <c r="B195" s="18">
        <v>274</v>
      </c>
      <c r="C195" s="18">
        <v>315</v>
      </c>
      <c r="D195" s="18">
        <v>234</v>
      </c>
      <c r="E195" s="18">
        <v>185</v>
      </c>
      <c r="F195" s="18">
        <v>290</v>
      </c>
      <c r="G195" s="18">
        <v>184</v>
      </c>
      <c r="H195" s="18">
        <v>108</v>
      </c>
      <c r="I195" s="18">
        <v>147</v>
      </c>
      <c r="J195" s="18">
        <v>174</v>
      </c>
      <c r="K195" s="18">
        <v>152</v>
      </c>
      <c r="L195" s="18">
        <v>181</v>
      </c>
      <c r="M195" s="18">
        <v>138</v>
      </c>
      <c r="N195" s="18">
        <f t="shared" si="56"/>
        <v>2382</v>
      </c>
    </row>
    <row r="196" spans="1:14" x14ac:dyDescent="0.2">
      <c r="A196" s="17" t="s">
        <v>143</v>
      </c>
      <c r="B196" s="18">
        <v>88</v>
      </c>
      <c r="C196" s="18">
        <v>456</v>
      </c>
      <c r="D196" s="18">
        <v>548</v>
      </c>
      <c r="E196" s="18">
        <v>109</v>
      </c>
      <c r="F196" s="18">
        <v>107</v>
      </c>
      <c r="G196" s="18">
        <v>163</v>
      </c>
      <c r="H196" s="18">
        <v>37</v>
      </c>
      <c r="I196" s="18">
        <v>42</v>
      </c>
      <c r="J196" s="18">
        <v>153</v>
      </c>
      <c r="K196" s="18">
        <v>85</v>
      </c>
      <c r="L196" s="18">
        <v>85</v>
      </c>
      <c r="M196" s="18">
        <v>37</v>
      </c>
      <c r="N196" s="18">
        <f t="shared" si="56"/>
        <v>1910</v>
      </c>
    </row>
    <row r="197" spans="1:14" x14ac:dyDescent="0.2">
      <c r="A197" s="17" t="s">
        <v>144</v>
      </c>
      <c r="B197" s="18">
        <v>123</v>
      </c>
      <c r="C197" s="18">
        <v>232</v>
      </c>
      <c r="D197" s="18">
        <v>284</v>
      </c>
      <c r="E197" s="18">
        <v>259</v>
      </c>
      <c r="F197" s="18">
        <v>425</v>
      </c>
      <c r="G197" s="18">
        <v>262</v>
      </c>
      <c r="H197" s="18">
        <v>313</v>
      </c>
      <c r="I197" s="18">
        <v>352</v>
      </c>
      <c r="J197" s="18">
        <v>316</v>
      </c>
      <c r="K197" s="18">
        <v>308</v>
      </c>
      <c r="L197" s="18">
        <v>349</v>
      </c>
      <c r="M197" s="18">
        <v>250</v>
      </c>
      <c r="N197" s="18">
        <f t="shared" si="56"/>
        <v>3473</v>
      </c>
    </row>
    <row r="198" spans="1:14" x14ac:dyDescent="0.2">
      <c r="A198" s="17" t="s">
        <v>145</v>
      </c>
      <c r="B198" s="18">
        <v>1081</v>
      </c>
      <c r="C198" s="18">
        <v>1504</v>
      </c>
      <c r="D198" s="18">
        <v>1727</v>
      </c>
      <c r="E198" s="18">
        <v>1644</v>
      </c>
      <c r="F198" s="18">
        <v>2530</v>
      </c>
      <c r="G198" s="18">
        <v>2704</v>
      </c>
      <c r="H198" s="18">
        <v>3748</v>
      </c>
      <c r="I198" s="18">
        <v>3034</v>
      </c>
      <c r="J198" s="18">
        <v>1930</v>
      </c>
      <c r="K198" s="18">
        <v>2351</v>
      </c>
      <c r="L198" s="18">
        <v>1808</v>
      </c>
      <c r="M198" s="18">
        <v>2098</v>
      </c>
      <c r="N198" s="18">
        <f t="shared" si="56"/>
        <v>26159</v>
      </c>
    </row>
    <row r="199" spans="1:14" x14ac:dyDescent="0.2">
      <c r="A199" s="17" t="s">
        <v>146</v>
      </c>
      <c r="B199" s="18">
        <v>399</v>
      </c>
      <c r="C199" s="18">
        <v>890</v>
      </c>
      <c r="D199" s="18">
        <v>741</v>
      </c>
      <c r="E199" s="18">
        <v>745</v>
      </c>
      <c r="F199" s="18">
        <v>580</v>
      </c>
      <c r="G199" s="18">
        <v>395</v>
      </c>
      <c r="H199" s="18">
        <v>438</v>
      </c>
      <c r="I199" s="18">
        <v>485</v>
      </c>
      <c r="J199" s="18">
        <v>548</v>
      </c>
      <c r="K199" s="18">
        <v>668</v>
      </c>
      <c r="L199" s="18">
        <v>542</v>
      </c>
      <c r="M199" s="18">
        <v>239</v>
      </c>
      <c r="N199" s="18">
        <f t="shared" si="56"/>
        <v>6670</v>
      </c>
    </row>
    <row r="200" spans="1:14" x14ac:dyDescent="0.2">
      <c r="A200" s="17" t="s">
        <v>147</v>
      </c>
      <c r="B200" s="18">
        <v>304</v>
      </c>
      <c r="C200" s="18">
        <v>216</v>
      </c>
      <c r="D200" s="18">
        <v>292</v>
      </c>
      <c r="E200" s="18">
        <v>304</v>
      </c>
      <c r="F200" s="18">
        <v>285</v>
      </c>
      <c r="G200" s="18">
        <v>226</v>
      </c>
      <c r="H200" s="18">
        <v>177</v>
      </c>
      <c r="I200" s="18">
        <v>177</v>
      </c>
      <c r="J200" s="18">
        <v>185</v>
      </c>
      <c r="K200" s="18">
        <v>224</v>
      </c>
      <c r="L200" s="18">
        <v>149</v>
      </c>
      <c r="M200" s="18">
        <v>239</v>
      </c>
      <c r="N200" s="18">
        <f t="shared" si="56"/>
        <v>2778</v>
      </c>
    </row>
    <row r="201" spans="1:14" x14ac:dyDescent="0.2">
      <c r="A201" s="17" t="s">
        <v>148</v>
      </c>
      <c r="B201" s="18">
        <v>133</v>
      </c>
      <c r="C201" s="18">
        <v>210</v>
      </c>
      <c r="D201" s="18">
        <v>275</v>
      </c>
      <c r="E201" s="18">
        <v>300</v>
      </c>
      <c r="F201" s="18">
        <v>149</v>
      </c>
      <c r="G201" s="18">
        <v>203</v>
      </c>
      <c r="H201" s="18">
        <v>121</v>
      </c>
      <c r="I201" s="18">
        <v>119</v>
      </c>
      <c r="J201" s="18">
        <v>482</v>
      </c>
      <c r="K201" s="18">
        <v>389</v>
      </c>
      <c r="L201" s="18">
        <v>329</v>
      </c>
      <c r="M201" s="18">
        <v>48</v>
      </c>
      <c r="N201" s="18">
        <f t="shared" si="56"/>
        <v>2758</v>
      </c>
    </row>
    <row r="202" spans="1:14" x14ac:dyDescent="0.2">
      <c r="A202" s="17" t="s">
        <v>149</v>
      </c>
      <c r="B202" s="18">
        <v>214</v>
      </c>
      <c r="C202" s="18">
        <v>323</v>
      </c>
      <c r="D202" s="18">
        <v>257</v>
      </c>
      <c r="E202" s="18">
        <v>744</v>
      </c>
      <c r="F202" s="18">
        <v>550</v>
      </c>
      <c r="G202" s="18">
        <v>93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f t="shared" si="56"/>
        <v>2181</v>
      </c>
    </row>
    <row r="203" spans="1:14" x14ac:dyDescent="0.2">
      <c r="A203" s="17" t="s">
        <v>150</v>
      </c>
      <c r="B203" s="18">
        <v>92</v>
      </c>
      <c r="C203" s="18">
        <v>129</v>
      </c>
      <c r="D203" s="18">
        <v>241</v>
      </c>
      <c r="E203" s="18">
        <v>46</v>
      </c>
      <c r="F203" s="18">
        <v>92</v>
      </c>
      <c r="G203" s="18">
        <v>83</v>
      </c>
      <c r="H203" s="18">
        <v>121</v>
      </c>
      <c r="I203" s="18">
        <v>240</v>
      </c>
      <c r="J203" s="18">
        <v>29</v>
      </c>
      <c r="K203" s="18">
        <v>57</v>
      </c>
      <c r="L203" s="18">
        <v>60</v>
      </c>
      <c r="M203" s="18">
        <v>12</v>
      </c>
      <c r="N203" s="18">
        <f t="shared" si="56"/>
        <v>1202</v>
      </c>
    </row>
    <row r="204" spans="1:14" x14ac:dyDescent="0.2">
      <c r="A204" s="17" t="s">
        <v>151</v>
      </c>
      <c r="B204" s="18">
        <v>374</v>
      </c>
      <c r="C204" s="18">
        <v>465</v>
      </c>
      <c r="D204" s="18">
        <v>624</v>
      </c>
      <c r="E204" s="18">
        <v>532</v>
      </c>
      <c r="F204" s="18">
        <v>485</v>
      </c>
      <c r="G204" s="18">
        <v>119</v>
      </c>
      <c r="H204" s="18">
        <v>27</v>
      </c>
      <c r="I204" s="18">
        <v>317</v>
      </c>
      <c r="J204" s="18">
        <v>303</v>
      </c>
      <c r="K204" s="18">
        <v>502</v>
      </c>
      <c r="L204" s="18">
        <v>387</v>
      </c>
      <c r="M204" s="18">
        <v>127</v>
      </c>
      <c r="N204" s="18">
        <f t="shared" si="56"/>
        <v>4262</v>
      </c>
    </row>
    <row r="205" spans="1:14" x14ac:dyDescent="0.2">
      <c r="A205" s="17" t="s">
        <v>152</v>
      </c>
      <c r="B205" s="18">
        <v>0</v>
      </c>
      <c r="C205" s="18">
        <v>0</v>
      </c>
      <c r="D205" s="18">
        <v>0</v>
      </c>
      <c r="E205" s="18">
        <v>0</v>
      </c>
      <c r="F205" s="18">
        <v>0</v>
      </c>
      <c r="G205" s="18">
        <v>0</v>
      </c>
      <c r="H205" s="18">
        <v>0</v>
      </c>
      <c r="I205" s="18">
        <v>0</v>
      </c>
      <c r="J205" s="18">
        <v>0</v>
      </c>
      <c r="K205" s="18">
        <v>0</v>
      </c>
      <c r="L205" s="18">
        <v>364</v>
      </c>
      <c r="M205" s="18">
        <v>348</v>
      </c>
      <c r="N205" s="18">
        <f t="shared" si="56"/>
        <v>712</v>
      </c>
    </row>
    <row r="206" spans="1:14" ht="4.95" customHeight="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r="207" spans="1:14" ht="4.95" customHeight="1" x14ac:dyDescent="0.2"/>
    <row r="208" spans="1:14" x14ac:dyDescent="0.2">
      <c r="A208" s="16" t="s">
        <v>153</v>
      </c>
      <c r="B208" s="8">
        <f t="shared" ref="B208:N208" si="57">SUM(B194:B205)</f>
        <v>4468</v>
      </c>
      <c r="C208" s="8">
        <f t="shared" si="57"/>
        <v>6452</v>
      </c>
      <c r="D208" s="8">
        <f t="shared" si="57"/>
        <v>7352</v>
      </c>
      <c r="E208" s="8">
        <f t="shared" si="57"/>
        <v>6446</v>
      </c>
      <c r="F208" s="8">
        <f t="shared" si="57"/>
        <v>7389</v>
      </c>
      <c r="G208" s="8">
        <f t="shared" si="57"/>
        <v>6287</v>
      </c>
      <c r="H208" s="8">
        <f t="shared" si="57"/>
        <v>7263</v>
      </c>
      <c r="I208" s="8">
        <f t="shared" si="57"/>
        <v>7231</v>
      </c>
      <c r="J208" s="8">
        <f t="shared" si="57"/>
        <v>6037</v>
      </c>
      <c r="K208" s="8">
        <f t="shared" si="57"/>
        <v>6846</v>
      </c>
      <c r="L208" s="8">
        <f t="shared" si="57"/>
        <v>6444</v>
      </c>
      <c r="M208" s="8">
        <f t="shared" si="57"/>
        <v>5260</v>
      </c>
      <c r="N208" s="8">
        <f t="shared" si="57"/>
        <v>77475</v>
      </c>
    </row>
    <row r="209" spans="1:14" ht="4.95" customHeight="1" x14ac:dyDescent="0.2"/>
    <row r="210" spans="1:14" ht="4.95" customHeight="1" x14ac:dyDescent="0.2"/>
    <row r="211" spans="1:14" ht="4.95" customHeight="1" x14ac:dyDescent="0.2"/>
    <row r="212" spans="1:14" x14ac:dyDescent="0.2">
      <c r="A212" s="17" t="s">
        <v>154</v>
      </c>
      <c r="B212" s="18">
        <v>6030</v>
      </c>
      <c r="C212" s="18">
        <v>8495</v>
      </c>
      <c r="D212" s="18">
        <v>10272</v>
      </c>
      <c r="E212" s="18">
        <v>9376</v>
      </c>
      <c r="F212" s="18">
        <v>10563</v>
      </c>
      <c r="G212" s="18">
        <v>9416</v>
      </c>
      <c r="H212" s="18">
        <v>11437</v>
      </c>
      <c r="I212" s="18">
        <v>11062</v>
      </c>
      <c r="J212" s="18">
        <v>8412</v>
      </c>
      <c r="K212" s="18">
        <v>9722</v>
      </c>
      <c r="L212" s="18">
        <v>8440</v>
      </c>
      <c r="M212" s="18">
        <v>7474</v>
      </c>
      <c r="N212" s="18">
        <f>B212+C212+D212+E212+F212+G212+H212+I212+J212+K212+L212+M212</f>
        <v>110699</v>
      </c>
    </row>
    <row r="213" spans="1:14" x14ac:dyDescent="0.2">
      <c r="A213" s="17" t="s">
        <v>155</v>
      </c>
      <c r="B213" s="18">
        <v>899</v>
      </c>
      <c r="C213" s="18">
        <v>119</v>
      </c>
      <c r="D213" s="18">
        <v>71</v>
      </c>
      <c r="E213" s="18">
        <v>127</v>
      </c>
      <c r="F213" s="18">
        <v>60</v>
      </c>
      <c r="G213" s="18">
        <v>10</v>
      </c>
      <c r="H213" s="18">
        <v>5</v>
      </c>
      <c r="I213" s="18">
        <v>143</v>
      </c>
      <c r="J213" s="18">
        <v>123</v>
      </c>
      <c r="K213" s="18">
        <v>24</v>
      </c>
      <c r="L213" s="18">
        <v>7</v>
      </c>
      <c r="M213" s="18">
        <v>53</v>
      </c>
      <c r="N213" s="18">
        <f>B213+C213+D213+E213+F213+G213+H213+I213+J213+K213+L213+M213</f>
        <v>1641</v>
      </c>
    </row>
    <row r="214" spans="1:14" x14ac:dyDescent="0.2">
      <c r="A214" s="17" t="s">
        <v>156</v>
      </c>
      <c r="B214" s="18">
        <v>139</v>
      </c>
      <c r="C214" s="18">
        <v>44</v>
      </c>
      <c r="D214" s="18">
        <v>42</v>
      </c>
      <c r="E214" s="18">
        <v>32</v>
      </c>
      <c r="F214" s="18">
        <v>37</v>
      </c>
      <c r="G214" s="18">
        <v>39</v>
      </c>
      <c r="H214" s="18">
        <v>48</v>
      </c>
      <c r="I214" s="18">
        <v>8</v>
      </c>
      <c r="J214" s="18">
        <v>10</v>
      </c>
      <c r="K214" s="18">
        <v>27</v>
      </c>
      <c r="L214" s="18">
        <v>2</v>
      </c>
      <c r="M214" s="18">
        <v>8</v>
      </c>
      <c r="N214" s="18">
        <f>B214+C214+D214+E214+F214+G214+H214+I214+J214+K214+L214+M214</f>
        <v>436</v>
      </c>
    </row>
    <row r="215" spans="1:14" x14ac:dyDescent="0.2">
      <c r="A215" s="17" t="s">
        <v>157</v>
      </c>
      <c r="B215" s="18">
        <v>28</v>
      </c>
      <c r="C215" s="18">
        <v>20</v>
      </c>
      <c r="D215" s="18">
        <v>29</v>
      </c>
      <c r="E215" s="18">
        <v>19</v>
      </c>
      <c r="F215" s="18">
        <v>26</v>
      </c>
      <c r="G215" s="18">
        <v>19</v>
      </c>
      <c r="H215" s="18">
        <v>205</v>
      </c>
      <c r="I215" s="18">
        <v>22</v>
      </c>
      <c r="J215" s="18">
        <v>28</v>
      </c>
      <c r="K215" s="18">
        <v>24</v>
      </c>
      <c r="L215" s="18">
        <v>23</v>
      </c>
      <c r="M215" s="18">
        <v>21</v>
      </c>
      <c r="N215" s="18">
        <f>B215+C215+D215+E215+F215+G215+H215+I215+J215+K215+L215+M215</f>
        <v>464</v>
      </c>
    </row>
    <row r="216" spans="1:14" x14ac:dyDescent="0.2">
      <c r="A216" s="17" t="s">
        <v>158</v>
      </c>
      <c r="B216" s="18">
        <v>6522</v>
      </c>
      <c r="C216" s="18">
        <v>4249</v>
      </c>
      <c r="D216" s="18">
        <v>4563</v>
      </c>
      <c r="E216" s="18">
        <v>5035</v>
      </c>
      <c r="F216" s="18">
        <v>4459</v>
      </c>
      <c r="G216" s="18">
        <v>5304</v>
      </c>
      <c r="H216" s="18">
        <v>4712</v>
      </c>
      <c r="I216" s="18">
        <v>4646</v>
      </c>
      <c r="J216" s="18">
        <v>5470</v>
      </c>
      <c r="K216" s="18">
        <v>5131</v>
      </c>
      <c r="L216" s="18">
        <v>5187</v>
      </c>
      <c r="M216" s="18">
        <v>6707</v>
      </c>
      <c r="N216" s="18">
        <f>B216+C216+D216+E216+F216+G216+H216+I216+J216+K216+L216+M216</f>
        <v>61985</v>
      </c>
    </row>
    <row r="217" spans="1:14" ht="4.95" customHeight="1" x14ac:dyDescent="0.2"/>
    <row r="218" spans="1:14" ht="4.95" customHeight="1" x14ac:dyDescent="0.2"/>
    <row r="219" spans="1:14" x14ac:dyDescent="0.2">
      <c r="A219" s="16" t="s">
        <v>159</v>
      </c>
    </row>
    <row r="220" spans="1:14" x14ac:dyDescent="0.2">
      <c r="A220" s="17" t="s">
        <v>141</v>
      </c>
      <c r="B220" s="10">
        <v>161.82</v>
      </c>
      <c r="C220" s="10">
        <v>189.39</v>
      </c>
      <c r="D220" s="10">
        <v>208.52</v>
      </c>
      <c r="E220" s="10">
        <v>182.6</v>
      </c>
      <c r="F220" s="10">
        <v>162.04</v>
      </c>
      <c r="G220" s="10">
        <v>159.83000000000001</v>
      </c>
      <c r="H220" s="10">
        <v>114.96</v>
      </c>
      <c r="I220" s="10">
        <v>119.59</v>
      </c>
      <c r="J220" s="10">
        <v>150.61000000000001</v>
      </c>
      <c r="K220" s="10">
        <v>154.71</v>
      </c>
      <c r="L220" s="10">
        <v>162.13</v>
      </c>
      <c r="M220" s="10">
        <v>130.66</v>
      </c>
      <c r="N220" s="10">
        <v>156.9</v>
      </c>
    </row>
    <row r="221" spans="1:14" x14ac:dyDescent="0.2">
      <c r="A221" s="17" t="s">
        <v>142</v>
      </c>
      <c r="B221" s="10">
        <v>165.07</v>
      </c>
      <c r="C221" s="10">
        <v>190.99</v>
      </c>
      <c r="D221" s="10">
        <v>220.95</v>
      </c>
      <c r="E221" s="10">
        <v>187.52</v>
      </c>
      <c r="F221" s="10">
        <v>179.47</v>
      </c>
      <c r="G221" s="10">
        <v>147.11000000000001</v>
      </c>
      <c r="H221" s="10">
        <v>111.9</v>
      </c>
      <c r="I221" s="10">
        <v>120.75</v>
      </c>
      <c r="J221" s="10">
        <v>157.31</v>
      </c>
      <c r="K221" s="10">
        <v>164.21</v>
      </c>
      <c r="L221" s="10">
        <v>175.18</v>
      </c>
      <c r="M221" s="10">
        <v>149.97</v>
      </c>
      <c r="N221" s="10">
        <v>170.22</v>
      </c>
    </row>
    <row r="222" spans="1:14" x14ac:dyDescent="0.2">
      <c r="A222" s="17" t="s">
        <v>143</v>
      </c>
      <c r="B222" s="10">
        <v>127.88</v>
      </c>
      <c r="C222" s="10">
        <v>126.59</v>
      </c>
      <c r="D222" s="10">
        <v>128.66999999999999</v>
      </c>
      <c r="E222" s="10">
        <v>128.46</v>
      </c>
      <c r="F222" s="10">
        <v>130.9</v>
      </c>
      <c r="G222" s="10">
        <v>128.65</v>
      </c>
      <c r="H222" s="10">
        <v>112.37</v>
      </c>
      <c r="I222" s="10">
        <v>121.41</v>
      </c>
      <c r="J222" s="10">
        <v>127.94</v>
      </c>
      <c r="K222" s="10">
        <v>128.47999999999999</v>
      </c>
      <c r="L222" s="10">
        <v>126.99</v>
      </c>
      <c r="M222" s="10">
        <v>130.34</v>
      </c>
      <c r="N222" s="10">
        <v>127.66</v>
      </c>
    </row>
    <row r="223" spans="1:14" x14ac:dyDescent="0.2">
      <c r="A223" s="17" t="s">
        <v>144</v>
      </c>
      <c r="B223" s="10">
        <v>156.4</v>
      </c>
      <c r="C223" s="10">
        <v>166.14</v>
      </c>
      <c r="D223" s="10">
        <v>207.5</v>
      </c>
      <c r="E223" s="10">
        <v>166.54</v>
      </c>
      <c r="F223" s="10">
        <v>150.87</v>
      </c>
      <c r="G223" s="10">
        <v>155.43</v>
      </c>
      <c r="H223" s="10">
        <v>112.25</v>
      </c>
      <c r="I223" s="10">
        <v>126.1</v>
      </c>
      <c r="J223" s="10">
        <v>145.21</v>
      </c>
      <c r="K223" s="10">
        <v>153.25</v>
      </c>
      <c r="L223" s="10">
        <v>150.72</v>
      </c>
      <c r="M223" s="10">
        <v>125.68</v>
      </c>
      <c r="N223" s="10">
        <v>150.11000000000001</v>
      </c>
    </row>
    <row r="224" spans="1:14" x14ac:dyDescent="0.2">
      <c r="A224" s="17" t="s">
        <v>145</v>
      </c>
      <c r="B224" s="10">
        <v>122.43</v>
      </c>
      <c r="C224" s="10">
        <v>130.65</v>
      </c>
      <c r="D224" s="10">
        <v>145.38</v>
      </c>
      <c r="E224" s="10">
        <v>117.98</v>
      </c>
      <c r="F224" s="10">
        <v>109.43</v>
      </c>
      <c r="G224" s="10">
        <v>125.9</v>
      </c>
      <c r="H224" s="10">
        <v>84.93</v>
      </c>
      <c r="I224" s="10">
        <v>88.07</v>
      </c>
      <c r="J224" s="10">
        <v>102.13</v>
      </c>
      <c r="K224" s="10">
        <v>107.82</v>
      </c>
      <c r="L224" s="10">
        <v>115.89</v>
      </c>
      <c r="M224" s="10">
        <v>91.3</v>
      </c>
      <c r="N224" s="10">
        <v>108.12</v>
      </c>
    </row>
    <row r="225" spans="1:14" x14ac:dyDescent="0.2">
      <c r="A225" s="17" t="s">
        <v>146</v>
      </c>
      <c r="B225" s="10">
        <v>158.66</v>
      </c>
      <c r="C225" s="10">
        <v>170.5</v>
      </c>
      <c r="D225" s="10">
        <v>181.44</v>
      </c>
      <c r="E225" s="10">
        <v>171.15</v>
      </c>
      <c r="F225" s="10">
        <v>158.13999999999999</v>
      </c>
      <c r="G225" s="10">
        <v>141.16999999999999</v>
      </c>
      <c r="H225" s="10">
        <v>112.54</v>
      </c>
      <c r="I225" s="10">
        <v>108.55</v>
      </c>
      <c r="J225" s="10">
        <v>148.93</v>
      </c>
      <c r="K225" s="10">
        <v>150.61000000000001</v>
      </c>
      <c r="L225" s="10">
        <v>158.84</v>
      </c>
      <c r="M225" s="10">
        <v>136.09</v>
      </c>
      <c r="N225" s="10">
        <v>154.01</v>
      </c>
    </row>
    <row r="226" spans="1:14" x14ac:dyDescent="0.2">
      <c r="A226" s="17" t="s">
        <v>147</v>
      </c>
      <c r="B226" s="10">
        <v>149.6</v>
      </c>
      <c r="C226" s="10">
        <v>158.74</v>
      </c>
      <c r="D226" s="10">
        <v>168.81</v>
      </c>
      <c r="E226" s="10">
        <v>158.41999999999999</v>
      </c>
      <c r="F226" s="10">
        <v>145.5</v>
      </c>
      <c r="G226" s="10">
        <v>145.08000000000001</v>
      </c>
      <c r="H226" s="10">
        <v>131.4</v>
      </c>
      <c r="I226" s="10">
        <v>130.33000000000001</v>
      </c>
      <c r="J226" s="10">
        <v>147.55000000000001</v>
      </c>
      <c r="K226" s="10">
        <v>151.85</v>
      </c>
      <c r="L226" s="10">
        <v>149.97</v>
      </c>
      <c r="M226" s="10">
        <v>150.99</v>
      </c>
      <c r="N226" s="10">
        <v>150.30000000000001</v>
      </c>
    </row>
    <row r="227" spans="1:14" x14ac:dyDescent="0.2">
      <c r="A227" s="16" t="s">
        <v>160</v>
      </c>
      <c r="B227" s="9">
        <v>148.05000000000001</v>
      </c>
      <c r="C227" s="9">
        <v>162.1</v>
      </c>
      <c r="D227" s="9">
        <v>177.99</v>
      </c>
      <c r="E227" s="9">
        <v>155.38999999999999</v>
      </c>
      <c r="F227" s="9">
        <v>138.63</v>
      </c>
      <c r="G227" s="9">
        <v>140.65</v>
      </c>
      <c r="H227" s="9">
        <v>98.95</v>
      </c>
      <c r="I227" s="9">
        <v>104.86</v>
      </c>
      <c r="J227" s="9">
        <v>131.63999999999999</v>
      </c>
      <c r="K227" s="9">
        <v>135.24</v>
      </c>
      <c r="L227" s="9">
        <v>144.82</v>
      </c>
      <c r="M227" s="9">
        <v>114.78</v>
      </c>
      <c r="N227" s="9">
        <v>136.38999999999999</v>
      </c>
    </row>
    <row r="228" spans="1:14" ht="4.95" customHeight="1" x14ac:dyDescent="0.2"/>
    <row r="229" spans="1:14" x14ac:dyDescent="0.2">
      <c r="A229" s="16" t="s">
        <v>161</v>
      </c>
    </row>
    <row r="230" spans="1:14" x14ac:dyDescent="0.2">
      <c r="A230" s="17" t="s">
        <v>148</v>
      </c>
      <c r="B230" s="10">
        <v>145.63</v>
      </c>
      <c r="C230" s="10">
        <v>159.52000000000001</v>
      </c>
      <c r="D230" s="10">
        <v>186.18</v>
      </c>
      <c r="E230" s="10">
        <v>160.68</v>
      </c>
      <c r="F230" s="10">
        <v>147.43</v>
      </c>
      <c r="G230" s="10">
        <v>136.94999999999999</v>
      </c>
      <c r="H230" s="10">
        <v>138</v>
      </c>
      <c r="I230" s="10">
        <v>138.58000000000001</v>
      </c>
      <c r="J230" s="10">
        <v>148.41999999999999</v>
      </c>
      <c r="K230" s="10">
        <v>153.13999999999999</v>
      </c>
      <c r="L230" s="10">
        <v>116.99</v>
      </c>
      <c r="M230" s="10">
        <v>127.75</v>
      </c>
      <c r="N230" s="10">
        <v>149.01</v>
      </c>
    </row>
    <row r="231" spans="1:14" x14ac:dyDescent="0.2">
      <c r="A231" s="17" t="s">
        <v>149</v>
      </c>
      <c r="B231" s="10">
        <v>139.88</v>
      </c>
      <c r="C231" s="10">
        <v>140.85</v>
      </c>
      <c r="D231" s="10">
        <v>155.09</v>
      </c>
      <c r="E231" s="10">
        <v>183.14</v>
      </c>
      <c r="F231" s="10">
        <v>124.52</v>
      </c>
      <c r="G231" s="10">
        <v>138.32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152.63</v>
      </c>
    </row>
    <row r="232" spans="1:14" x14ac:dyDescent="0.2">
      <c r="A232" s="17" t="s">
        <v>150</v>
      </c>
      <c r="B232" s="10">
        <v>103.97</v>
      </c>
      <c r="C232" s="10">
        <v>127.86</v>
      </c>
      <c r="D232" s="10">
        <v>135.25</v>
      </c>
      <c r="E232" s="10">
        <v>128.91</v>
      </c>
      <c r="F232" s="10">
        <v>110.14</v>
      </c>
      <c r="G232" s="10">
        <v>116.13</v>
      </c>
      <c r="H232" s="10">
        <v>89.58</v>
      </c>
      <c r="I232" s="10">
        <v>87.93</v>
      </c>
      <c r="J232" s="10">
        <v>109.36</v>
      </c>
      <c r="K232" s="10">
        <v>111.73</v>
      </c>
      <c r="L232" s="10">
        <v>126.45</v>
      </c>
      <c r="M232" s="10">
        <v>113.64</v>
      </c>
      <c r="N232" s="10">
        <v>112.14</v>
      </c>
    </row>
    <row r="233" spans="1:14" x14ac:dyDescent="0.2">
      <c r="A233" s="17" t="s">
        <v>151</v>
      </c>
      <c r="B233" s="10">
        <v>138.96</v>
      </c>
      <c r="C233" s="10">
        <v>148.76</v>
      </c>
      <c r="D233" s="10">
        <v>138.79</v>
      </c>
      <c r="E233" s="10">
        <v>142.1</v>
      </c>
      <c r="F233" s="10">
        <v>126.26</v>
      </c>
      <c r="G233" s="10">
        <v>124.08</v>
      </c>
      <c r="H233" s="10">
        <v>134.56</v>
      </c>
      <c r="I233" s="10">
        <v>120.06</v>
      </c>
      <c r="J233" s="10">
        <v>127.31</v>
      </c>
      <c r="K233" s="10">
        <v>128.24</v>
      </c>
      <c r="L233" s="10">
        <v>125.02</v>
      </c>
      <c r="M233" s="10">
        <v>130.96</v>
      </c>
      <c r="N233" s="10">
        <v>133.51</v>
      </c>
    </row>
    <row r="234" spans="1:14" x14ac:dyDescent="0.2">
      <c r="A234" s="16" t="s">
        <v>162</v>
      </c>
      <c r="B234" s="9">
        <v>136.33000000000001</v>
      </c>
      <c r="C234" s="9">
        <v>146.11000000000001</v>
      </c>
      <c r="D234" s="9">
        <v>150.51</v>
      </c>
      <c r="E234" s="9">
        <v>163.99</v>
      </c>
      <c r="F234" s="9">
        <v>126.82</v>
      </c>
      <c r="G234" s="9">
        <v>130.66</v>
      </c>
      <c r="H234" s="9">
        <v>115.88</v>
      </c>
      <c r="I234" s="9">
        <v>111.91</v>
      </c>
      <c r="J234" s="9">
        <v>139.16999999999999</v>
      </c>
      <c r="K234" s="9">
        <v>137.46</v>
      </c>
      <c r="L234" s="9">
        <v>121.73</v>
      </c>
      <c r="M234" s="9">
        <v>129.03</v>
      </c>
      <c r="N234" s="9">
        <v>139.16</v>
      </c>
    </row>
    <row r="235" spans="1:14" ht="4.95" customHeight="1" x14ac:dyDescent="0.2"/>
    <row r="236" spans="1:14" x14ac:dyDescent="0.2">
      <c r="A236" s="16" t="s">
        <v>163</v>
      </c>
    </row>
    <row r="237" spans="1:14" x14ac:dyDescent="0.2">
      <c r="A237" s="17" t="s">
        <v>152</v>
      </c>
      <c r="B237" s="10">
        <v>0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111.51</v>
      </c>
      <c r="M237" s="10">
        <v>99.62</v>
      </c>
      <c r="N237" s="10">
        <v>105.7</v>
      </c>
    </row>
    <row r="238" spans="1:14" x14ac:dyDescent="0.2">
      <c r="A238" s="16" t="s">
        <v>164</v>
      </c>
      <c r="B238" s="9">
        <v>0</v>
      </c>
      <c r="C238" s="9">
        <v>0</v>
      </c>
      <c r="D238" s="9">
        <v>0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111.51</v>
      </c>
      <c r="M238" s="9">
        <v>99.62</v>
      </c>
      <c r="N238" s="9">
        <v>105.7</v>
      </c>
    </row>
    <row r="239" spans="1:14" ht="4.95" customHeight="1" x14ac:dyDescent="0.2"/>
    <row r="240" spans="1:14" x14ac:dyDescent="0.2">
      <c r="A240" s="17" t="s">
        <v>157</v>
      </c>
      <c r="B240" s="10">
        <v>294.97000000000003</v>
      </c>
      <c r="C240" s="10">
        <v>639.94000000000005</v>
      </c>
      <c r="D240" s="10">
        <v>746.99</v>
      </c>
      <c r="E240" s="10">
        <v>1009.3</v>
      </c>
      <c r="F240" s="10">
        <v>626.27</v>
      </c>
      <c r="G240" s="10">
        <v>548.19000000000005</v>
      </c>
      <c r="H240" s="10">
        <v>74.099999999999994</v>
      </c>
      <c r="I240" s="10">
        <v>427.26</v>
      </c>
      <c r="J240" s="10">
        <v>400.76</v>
      </c>
      <c r="K240" s="10">
        <v>527.79999999999995</v>
      </c>
      <c r="L240" s="10">
        <v>266.69</v>
      </c>
      <c r="M240" s="10">
        <v>365.42</v>
      </c>
      <c r="N240" s="10">
        <v>325.18</v>
      </c>
    </row>
    <row r="241" spans="1:14" ht="4.95" customHeight="1" x14ac:dyDescent="0.2"/>
    <row r="242" spans="1:14" ht="4.95" customHeight="1" x14ac:dyDescent="0.2"/>
    <row r="243" spans="1:14" ht="4.95" customHeight="1" x14ac:dyDescent="0.2"/>
    <row r="244" spans="1:14" x14ac:dyDescent="0.2">
      <c r="A244" s="16" t="s">
        <v>165</v>
      </c>
    </row>
    <row r="246" spans="1:14" x14ac:dyDescent="0.2">
      <c r="A246" s="16" t="s">
        <v>166</v>
      </c>
    </row>
    <row r="247" spans="1:14" x14ac:dyDescent="0.2">
      <c r="A247" s="16" t="s">
        <v>167</v>
      </c>
    </row>
    <row r="248" spans="1:14" x14ac:dyDescent="0.2">
      <c r="A248" s="17" t="s">
        <v>168</v>
      </c>
      <c r="B248" s="10">
        <v>90</v>
      </c>
      <c r="C248" s="10">
        <v>17094.68</v>
      </c>
      <c r="D248" s="10">
        <v>9940</v>
      </c>
      <c r="E248" s="10">
        <v>5938</v>
      </c>
      <c r="F248" s="10">
        <v>18273.75</v>
      </c>
      <c r="G248" s="10">
        <v>8215.6</v>
      </c>
      <c r="H248" s="10">
        <v>162</v>
      </c>
      <c r="I248" s="10">
        <v>6876.15</v>
      </c>
      <c r="J248" s="10">
        <v>33484.6</v>
      </c>
      <c r="K248" s="10">
        <v>35696.79</v>
      </c>
      <c r="L248" s="10">
        <v>19416.2</v>
      </c>
      <c r="M248" s="10">
        <v>5855</v>
      </c>
      <c r="N248" s="10">
        <f>B248+C248+D248+E248+F248+G248+H248+I248+J248+K248+L248+M248</f>
        <v>161042.77000000002</v>
      </c>
    </row>
    <row r="249" spans="1:14" x14ac:dyDescent="0.2">
      <c r="A249" s="17" t="s">
        <v>169</v>
      </c>
      <c r="B249" s="10">
        <v>7802</v>
      </c>
      <c r="C249" s="10">
        <v>42155.71</v>
      </c>
      <c r="D249" s="10">
        <v>40636</v>
      </c>
      <c r="E249" s="10">
        <v>24017</v>
      </c>
      <c r="F249" s="10">
        <v>10749.34</v>
      </c>
      <c r="G249" s="10">
        <v>8648.09</v>
      </c>
      <c r="H249" s="10">
        <v>10177.9</v>
      </c>
      <c r="I249" s="10">
        <v>11194.26</v>
      </c>
      <c r="J249" s="10">
        <v>17680.25</v>
      </c>
      <c r="K249" s="10">
        <v>28382.59</v>
      </c>
      <c r="L249" s="10">
        <v>51294</v>
      </c>
      <c r="M249" s="10">
        <v>11359</v>
      </c>
      <c r="N249" s="10">
        <f>B249+C249+D249+E249+F249+G249+H249+I249+J249+K249+L249+M249</f>
        <v>264096.14</v>
      </c>
    </row>
    <row r="250" spans="1:14" x14ac:dyDescent="0.2">
      <c r="A250" s="17" t="s">
        <v>170</v>
      </c>
      <c r="B250" s="10">
        <v>34542</v>
      </c>
      <c r="C250" s="10">
        <v>18966</v>
      </c>
      <c r="D250" s="10">
        <v>35442</v>
      </c>
      <c r="E250" s="10">
        <v>52601</v>
      </c>
      <c r="F250" s="10">
        <v>6271</v>
      </c>
      <c r="G250" s="10">
        <v>6894.34</v>
      </c>
      <c r="H250" s="10">
        <v>1658</v>
      </c>
      <c r="I250" s="10">
        <v>10971.05</v>
      </c>
      <c r="J250" s="10">
        <v>25627.5</v>
      </c>
      <c r="K250" s="10">
        <v>36409.440000000002</v>
      </c>
      <c r="L250" s="10">
        <v>18838.689999999999</v>
      </c>
      <c r="M250" s="10">
        <v>21634.5</v>
      </c>
      <c r="N250" s="10">
        <f>B250+C250+D250+E250+F250+G250+H250+I250+J250+K250+L250+M250</f>
        <v>269855.52</v>
      </c>
    </row>
    <row r="251" spans="1:14" x14ac:dyDescent="0.2">
      <c r="A251" s="17" t="s">
        <v>171</v>
      </c>
      <c r="B251" s="10">
        <v>6182.54</v>
      </c>
      <c r="C251" s="10">
        <v>43319.09</v>
      </c>
      <c r="D251" s="10">
        <v>30002.52</v>
      </c>
      <c r="E251" s="10">
        <v>30242.55</v>
      </c>
      <c r="F251" s="10">
        <v>9808.2800000000007</v>
      </c>
      <c r="G251" s="10">
        <v>1860.79</v>
      </c>
      <c r="H251" s="10">
        <v>3460</v>
      </c>
      <c r="I251" s="10">
        <v>3658</v>
      </c>
      <c r="J251" s="10">
        <v>17364.900000000001</v>
      </c>
      <c r="K251" s="10">
        <v>27402.05</v>
      </c>
      <c r="L251" s="10">
        <v>55427.26</v>
      </c>
      <c r="M251" s="10">
        <v>4838.03</v>
      </c>
      <c r="N251" s="10">
        <f>B251+C251+D251+E251+F251+G251+H251+I251+J251+K251+L251+M251</f>
        <v>233566.00999999998</v>
      </c>
    </row>
    <row r="252" spans="1:14" x14ac:dyDescent="0.2">
      <c r="A252" s="17" t="s">
        <v>172</v>
      </c>
      <c r="B252" s="10">
        <v>0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12300</v>
      </c>
      <c r="L252" s="10">
        <v>0</v>
      </c>
      <c r="M252" s="10">
        <v>0</v>
      </c>
      <c r="N252" s="10">
        <f>B252+C252+D252+E252+F252+G252+H252+I252+J252+K252+L252+M252</f>
        <v>12300</v>
      </c>
    </row>
    <row r="253" spans="1:14" ht="4.95" customHeight="1" x14ac:dyDescent="0.2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</row>
    <row r="254" spans="1:14" ht="4.95" customHeight="1" x14ac:dyDescent="0.2"/>
    <row r="255" spans="1:14" x14ac:dyDescent="0.2">
      <c r="A255" s="16" t="s">
        <v>173</v>
      </c>
      <c r="B255" s="9">
        <f t="shared" ref="B255:N255" si="58">SUM(B248:B252)</f>
        <v>48616.54</v>
      </c>
      <c r="C255" s="9">
        <f t="shared" si="58"/>
        <v>121535.48</v>
      </c>
      <c r="D255" s="9">
        <f t="shared" si="58"/>
        <v>116020.52</v>
      </c>
      <c r="E255" s="9">
        <f t="shared" si="58"/>
        <v>112798.55</v>
      </c>
      <c r="F255" s="9">
        <f t="shared" si="58"/>
        <v>45102.369999999995</v>
      </c>
      <c r="G255" s="9">
        <f t="shared" si="58"/>
        <v>25618.820000000003</v>
      </c>
      <c r="H255" s="9">
        <f t="shared" si="58"/>
        <v>15457.9</v>
      </c>
      <c r="I255" s="9">
        <f t="shared" si="58"/>
        <v>32699.46</v>
      </c>
      <c r="J255" s="9">
        <f t="shared" si="58"/>
        <v>94157.25</v>
      </c>
      <c r="K255" s="9">
        <f t="shared" si="58"/>
        <v>140190.87</v>
      </c>
      <c r="L255" s="9">
        <f t="shared" si="58"/>
        <v>144976.15</v>
      </c>
      <c r="M255" s="9">
        <f t="shared" si="58"/>
        <v>43686.53</v>
      </c>
      <c r="N255" s="9">
        <f t="shared" si="58"/>
        <v>940860.44000000006</v>
      </c>
    </row>
    <row r="256" spans="1:14" ht="4.95" customHeight="1" x14ac:dyDescent="0.2"/>
    <row r="257" spans="1:14" x14ac:dyDescent="0.2">
      <c r="A257" s="16" t="s">
        <v>174</v>
      </c>
    </row>
    <row r="258" spans="1:14" x14ac:dyDescent="0.2">
      <c r="A258" s="17" t="s">
        <v>175</v>
      </c>
      <c r="B258" s="10">
        <v>946.88</v>
      </c>
      <c r="C258" s="10">
        <v>1639.63</v>
      </c>
      <c r="D258" s="10">
        <v>4438</v>
      </c>
      <c r="E258" s="10">
        <v>3097.1</v>
      </c>
      <c r="F258" s="10">
        <v>0</v>
      </c>
      <c r="G258" s="10">
        <v>778.97</v>
      </c>
      <c r="H258" s="10">
        <v>309</v>
      </c>
      <c r="I258" s="10">
        <v>0</v>
      </c>
      <c r="J258" s="10">
        <v>1805</v>
      </c>
      <c r="K258" s="10">
        <v>1120</v>
      </c>
      <c r="L258" s="10">
        <v>2124</v>
      </c>
      <c r="M258" s="10">
        <v>1208.9100000000001</v>
      </c>
      <c r="N258" s="10">
        <f>B258+C258+D258+E258+F258+G258+H258+I258+J258+K258+L258+M258</f>
        <v>17467.490000000002</v>
      </c>
    </row>
    <row r="259" spans="1:14" x14ac:dyDescent="0.2">
      <c r="A259" s="17" t="s">
        <v>176</v>
      </c>
      <c r="B259" s="10">
        <v>2527.58</v>
      </c>
      <c r="C259" s="10">
        <v>4188.8100000000004</v>
      </c>
      <c r="D259" s="10">
        <v>1776</v>
      </c>
      <c r="E259" s="10">
        <v>19305.68</v>
      </c>
      <c r="F259" s="10">
        <v>0</v>
      </c>
      <c r="G259" s="10">
        <v>2023.44</v>
      </c>
      <c r="H259" s="10">
        <v>0</v>
      </c>
      <c r="I259" s="10">
        <v>0</v>
      </c>
      <c r="J259" s="10">
        <v>0</v>
      </c>
      <c r="K259" s="10">
        <v>1534</v>
      </c>
      <c r="L259" s="10">
        <v>5672</v>
      </c>
      <c r="M259" s="10">
        <v>4039.35</v>
      </c>
      <c r="N259" s="10">
        <f>B259+C259+D259+E259+F259+G259+H259+I259+J259+K259+L259+M259</f>
        <v>41066.859999999993</v>
      </c>
    </row>
    <row r="260" spans="1:14" x14ac:dyDescent="0.2">
      <c r="A260" s="17" t="s">
        <v>177</v>
      </c>
      <c r="B260" s="10">
        <v>1060</v>
      </c>
      <c r="C260" s="10">
        <v>1683.02</v>
      </c>
      <c r="D260" s="10">
        <v>875</v>
      </c>
      <c r="E260" s="10">
        <v>3558.32</v>
      </c>
      <c r="F260" s="10">
        <v>0</v>
      </c>
      <c r="G260" s="10">
        <v>1372.66</v>
      </c>
      <c r="H260" s="10">
        <v>270</v>
      </c>
      <c r="I260" s="10">
        <v>0</v>
      </c>
      <c r="J260" s="10">
        <v>918</v>
      </c>
      <c r="K260" s="10">
        <v>1305</v>
      </c>
      <c r="L260" s="10">
        <v>1813</v>
      </c>
      <c r="M260" s="10">
        <v>1148.4100000000001</v>
      </c>
      <c r="N260" s="10">
        <f>B260+C260+D260+E260+F260+G260+H260+I260+J260+K260+L260+M260</f>
        <v>14003.41</v>
      </c>
    </row>
    <row r="261" spans="1:14" ht="4.95" customHeight="1" x14ac:dyDescent="0.2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ht="4.95" customHeight="1" x14ac:dyDescent="0.2"/>
    <row r="263" spans="1:14" x14ac:dyDescent="0.2">
      <c r="A263" s="16" t="s">
        <v>178</v>
      </c>
      <c r="B263" s="9">
        <f t="shared" ref="B263:N263" si="59">SUM(B258:B260)</f>
        <v>4534.46</v>
      </c>
      <c r="C263" s="9">
        <f t="shared" si="59"/>
        <v>7511.4600000000009</v>
      </c>
      <c r="D263" s="9">
        <f t="shared" si="59"/>
        <v>7089</v>
      </c>
      <c r="E263" s="9">
        <f t="shared" si="59"/>
        <v>25961.1</v>
      </c>
      <c r="F263" s="9">
        <f t="shared" si="59"/>
        <v>0</v>
      </c>
      <c r="G263" s="9">
        <f t="shared" si="59"/>
        <v>4175.07</v>
      </c>
      <c r="H263" s="9">
        <f t="shared" si="59"/>
        <v>579</v>
      </c>
      <c r="I263" s="9">
        <f t="shared" si="59"/>
        <v>0</v>
      </c>
      <c r="J263" s="9">
        <f t="shared" si="59"/>
        <v>2723</v>
      </c>
      <c r="K263" s="9">
        <f t="shared" si="59"/>
        <v>3959</v>
      </c>
      <c r="L263" s="9">
        <f t="shared" si="59"/>
        <v>9609</v>
      </c>
      <c r="M263" s="9">
        <f t="shared" si="59"/>
        <v>6396.67</v>
      </c>
      <c r="N263" s="9">
        <f t="shared" si="59"/>
        <v>72537.759999999995</v>
      </c>
    </row>
    <row r="264" spans="1:14" ht="4.95" customHeight="1" x14ac:dyDescent="0.2"/>
    <row r="265" spans="1:14" x14ac:dyDescent="0.2">
      <c r="A265" s="16" t="s">
        <v>179</v>
      </c>
    </row>
    <row r="266" spans="1:14" x14ac:dyDescent="0.2">
      <c r="A266" s="17" t="s">
        <v>180</v>
      </c>
      <c r="B266" s="10">
        <v>6200</v>
      </c>
      <c r="C266" s="10">
        <v>35510.1</v>
      </c>
      <c r="D266" s="10">
        <v>27250</v>
      </c>
      <c r="E266" s="10">
        <v>33486.879999999997</v>
      </c>
      <c r="F266" s="10">
        <v>15350</v>
      </c>
      <c r="G266" s="10">
        <v>22265.19</v>
      </c>
      <c r="H266" s="10">
        <v>15779.92</v>
      </c>
      <c r="I266" s="10">
        <v>23650</v>
      </c>
      <c r="J266" s="10">
        <v>13575</v>
      </c>
      <c r="K266" s="10">
        <v>27850</v>
      </c>
      <c r="L266" s="10">
        <v>31066</v>
      </c>
      <c r="M266" s="10">
        <v>21725</v>
      </c>
      <c r="N266" s="10">
        <f>B266+C266+D266+E266+F266+G266+H266+I266+J266+K266+L266+M266</f>
        <v>273708.09000000003</v>
      </c>
    </row>
    <row r="267" spans="1:14" x14ac:dyDescent="0.2">
      <c r="A267" s="17" t="s">
        <v>181</v>
      </c>
      <c r="B267" s="10">
        <v>16657.96</v>
      </c>
      <c r="C267" s="10">
        <v>40381.21</v>
      </c>
      <c r="D267" s="10">
        <v>37410.980000000003</v>
      </c>
      <c r="E267" s="10">
        <v>43699.85</v>
      </c>
      <c r="F267" s="10">
        <v>18814.080000000002</v>
      </c>
      <c r="G267" s="10">
        <v>2903.61</v>
      </c>
      <c r="H267" s="10">
        <v>6128.68</v>
      </c>
      <c r="I267" s="10">
        <v>12935.54</v>
      </c>
      <c r="J267" s="10">
        <v>30294.25</v>
      </c>
      <c r="K267" s="10">
        <v>51806.02</v>
      </c>
      <c r="L267" s="10">
        <v>53394.75</v>
      </c>
      <c r="M267" s="10">
        <v>17316.87</v>
      </c>
      <c r="N267" s="10">
        <f>B267+C267+D267+E267+F267+G267+H267+I267+J267+K267+L267+M267</f>
        <v>331743.8</v>
      </c>
    </row>
    <row r="268" spans="1:14" x14ac:dyDescent="0.2">
      <c r="A268" s="17" t="s">
        <v>182</v>
      </c>
      <c r="B268" s="10">
        <v>4295</v>
      </c>
      <c r="C268" s="10">
        <v>23649</v>
      </c>
      <c r="D268" s="10">
        <v>14531</v>
      </c>
      <c r="E268" s="10">
        <v>28526</v>
      </c>
      <c r="F268" s="10">
        <v>14129</v>
      </c>
      <c r="G268" s="10">
        <v>3264</v>
      </c>
      <c r="H268" s="10">
        <v>1870</v>
      </c>
      <c r="I268" s="10">
        <v>4470</v>
      </c>
      <c r="J268" s="10">
        <v>26000</v>
      </c>
      <c r="K268" s="10">
        <v>40682</v>
      </c>
      <c r="L268" s="10">
        <v>39712</v>
      </c>
      <c r="M268" s="10">
        <v>11842</v>
      </c>
      <c r="N268" s="10">
        <f>B268+C268+D268+E268+F268+G268+H268+I268+J268+K268+L268+M268</f>
        <v>212970</v>
      </c>
    </row>
    <row r="269" spans="1:14" x14ac:dyDescent="0.2">
      <c r="A269" s="17" t="s">
        <v>183</v>
      </c>
      <c r="B269" s="10">
        <v>10500</v>
      </c>
      <c r="C269" s="10">
        <v>2650</v>
      </c>
      <c r="D269" s="10">
        <v>3250</v>
      </c>
      <c r="E269" s="10">
        <v>-697.92</v>
      </c>
      <c r="F269" s="10">
        <v>-2965.13</v>
      </c>
      <c r="G269" s="10">
        <v>6500</v>
      </c>
      <c r="H269" s="10">
        <v>2375</v>
      </c>
      <c r="I269" s="10">
        <v>1981.13</v>
      </c>
      <c r="J269" s="10">
        <v>2999.85</v>
      </c>
      <c r="K269" s="10">
        <v>9129.85</v>
      </c>
      <c r="L269" s="10">
        <v>8287.36</v>
      </c>
      <c r="M269" s="10">
        <v>1939.01</v>
      </c>
      <c r="N269" s="10">
        <f>B269+C269+D269+E269+F269+G269+H269+I269+J269+K269+L269+M269</f>
        <v>45949.15</v>
      </c>
    </row>
    <row r="270" spans="1:14" ht="4.95" customHeight="1" x14ac:dyDescent="0.2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</row>
    <row r="271" spans="1:14" ht="4.95" customHeight="1" x14ac:dyDescent="0.2"/>
    <row r="272" spans="1:14" x14ac:dyDescent="0.2">
      <c r="A272" s="16" t="s">
        <v>184</v>
      </c>
      <c r="B272" s="9">
        <f t="shared" ref="B272:N272" si="60">SUM(B266:B269)</f>
        <v>37652.959999999999</v>
      </c>
      <c r="C272" s="9">
        <f t="shared" si="60"/>
        <v>102190.31</v>
      </c>
      <c r="D272" s="9">
        <f t="shared" si="60"/>
        <v>82441.98000000001</v>
      </c>
      <c r="E272" s="9">
        <f t="shared" si="60"/>
        <v>105014.81</v>
      </c>
      <c r="F272" s="9">
        <f t="shared" si="60"/>
        <v>45327.950000000004</v>
      </c>
      <c r="G272" s="9">
        <f t="shared" si="60"/>
        <v>34932.800000000003</v>
      </c>
      <c r="H272" s="9">
        <f t="shared" si="60"/>
        <v>26153.599999999999</v>
      </c>
      <c r="I272" s="9">
        <f t="shared" si="60"/>
        <v>43036.67</v>
      </c>
      <c r="J272" s="9">
        <f t="shared" si="60"/>
        <v>72869.100000000006</v>
      </c>
      <c r="K272" s="9">
        <f t="shared" si="60"/>
        <v>129467.87</v>
      </c>
      <c r="L272" s="9">
        <f t="shared" si="60"/>
        <v>132460.10999999999</v>
      </c>
      <c r="M272" s="9">
        <f t="shared" si="60"/>
        <v>52822.879999999997</v>
      </c>
      <c r="N272" s="9">
        <f t="shared" si="60"/>
        <v>864371.04</v>
      </c>
    </row>
    <row r="273" spans="1:14" ht="4.95" customHeight="1" x14ac:dyDescent="0.2"/>
    <row r="274" spans="1:14" ht="4.95" customHeight="1" x14ac:dyDescent="0.2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</row>
    <row r="275" spans="1:14" ht="4.95" customHeight="1" x14ac:dyDescent="0.2"/>
    <row r="276" spans="1:14" x14ac:dyDescent="0.2">
      <c r="A276" s="16" t="s">
        <v>185</v>
      </c>
      <c r="B276" s="9">
        <f t="shared" ref="B276:N276" si="61">B255+B263+B272</f>
        <v>90803.959999999992</v>
      </c>
      <c r="C276" s="9">
        <f t="shared" si="61"/>
        <v>231237.25</v>
      </c>
      <c r="D276" s="9">
        <f t="shared" si="61"/>
        <v>205551.5</v>
      </c>
      <c r="E276" s="9">
        <f t="shared" si="61"/>
        <v>243774.46</v>
      </c>
      <c r="F276" s="9">
        <f t="shared" si="61"/>
        <v>90430.32</v>
      </c>
      <c r="G276" s="9">
        <f t="shared" si="61"/>
        <v>64726.69</v>
      </c>
      <c r="H276" s="9">
        <f t="shared" si="61"/>
        <v>42190.5</v>
      </c>
      <c r="I276" s="9">
        <f t="shared" si="61"/>
        <v>75736.13</v>
      </c>
      <c r="J276" s="9">
        <f t="shared" si="61"/>
        <v>169749.35</v>
      </c>
      <c r="K276" s="9">
        <f t="shared" si="61"/>
        <v>273617.74</v>
      </c>
      <c r="L276" s="9">
        <f t="shared" si="61"/>
        <v>287045.26</v>
      </c>
      <c r="M276" s="9">
        <f t="shared" si="61"/>
        <v>102906.07999999999</v>
      </c>
      <c r="N276" s="9">
        <f t="shared" si="61"/>
        <v>1877769.2400000002</v>
      </c>
    </row>
    <row r="278" spans="1:14" x14ac:dyDescent="0.2">
      <c r="A278" s="16" t="s">
        <v>186</v>
      </c>
    </row>
    <row r="279" spans="1:14" x14ac:dyDescent="0.2">
      <c r="A279" s="17" t="s">
        <v>187</v>
      </c>
      <c r="B279" s="10">
        <v>17256.02</v>
      </c>
      <c r="C279" s="10">
        <v>28353.26</v>
      </c>
      <c r="D279" s="10">
        <v>29012.54</v>
      </c>
      <c r="E279" s="10">
        <v>31738.799999999999</v>
      </c>
      <c r="F279" s="10">
        <v>17058.990000000002</v>
      </c>
      <c r="G279" s="10">
        <v>9289</v>
      </c>
      <c r="H279" s="10">
        <v>5698.51</v>
      </c>
      <c r="I279" s="10">
        <v>13087.69</v>
      </c>
      <c r="J279" s="10">
        <v>26813.79</v>
      </c>
      <c r="K279" s="10">
        <v>35709.65</v>
      </c>
      <c r="L279" s="10">
        <v>27688.18</v>
      </c>
      <c r="M279" s="10">
        <v>13188.84</v>
      </c>
      <c r="N279" s="10">
        <f>B279+C279+D279+E279+F279+G279+H279+I279+J279+K279+L279+M279</f>
        <v>254895.27000000002</v>
      </c>
    </row>
    <row r="280" spans="1:14" x14ac:dyDescent="0.2">
      <c r="A280" s="17" t="s">
        <v>188</v>
      </c>
      <c r="B280" s="10">
        <v>637.82000000000005</v>
      </c>
      <c r="C280" s="10">
        <v>1104.08</v>
      </c>
      <c r="D280" s="10">
        <v>1234.5</v>
      </c>
      <c r="E280" s="10">
        <v>2760.2</v>
      </c>
      <c r="F280" s="10">
        <v>0</v>
      </c>
      <c r="G280" s="10">
        <v>24.55</v>
      </c>
      <c r="H280" s="10">
        <v>90.29</v>
      </c>
      <c r="I280" s="10">
        <v>0</v>
      </c>
      <c r="J280" s="10">
        <v>428.6</v>
      </c>
      <c r="K280" s="10">
        <v>697.77</v>
      </c>
      <c r="L280" s="10">
        <v>1354.59</v>
      </c>
      <c r="M280" s="10">
        <v>1378.24</v>
      </c>
      <c r="N280" s="10">
        <f>B280+C280+D280+E280+F280+G280+H280+I280+J280+K280+L280+M280</f>
        <v>9710.6400000000012</v>
      </c>
    </row>
    <row r="281" spans="1:14" x14ac:dyDescent="0.2">
      <c r="A281" s="17" t="s">
        <v>189</v>
      </c>
      <c r="B281" s="10">
        <v>2577</v>
      </c>
      <c r="C281" s="10">
        <v>14189.4</v>
      </c>
      <c r="D281" s="10">
        <v>8730.6</v>
      </c>
      <c r="E281" s="10">
        <v>17103.599999999999</v>
      </c>
      <c r="F281" s="10">
        <v>8477.4</v>
      </c>
      <c r="G281" s="10">
        <v>1958.4</v>
      </c>
      <c r="H281" s="10">
        <v>1122</v>
      </c>
      <c r="I281" s="10">
        <v>2376</v>
      </c>
      <c r="J281" s="10">
        <v>15548.89</v>
      </c>
      <c r="K281" s="10">
        <v>26332.2</v>
      </c>
      <c r="L281" s="10">
        <v>22020</v>
      </c>
      <c r="M281" s="10">
        <v>7514.4</v>
      </c>
      <c r="N281" s="10">
        <f>B281+C281+D281+E281+F281+G281+H281+I281+J281+K281+L281+M281</f>
        <v>127949.89</v>
      </c>
    </row>
    <row r="282" spans="1:14" x14ac:dyDescent="0.2">
      <c r="A282" s="17" t="s">
        <v>190</v>
      </c>
      <c r="B282" s="10">
        <v>2177.9699999999998</v>
      </c>
      <c r="C282" s="10">
        <v>3061.5</v>
      </c>
      <c r="D282" s="10">
        <v>3295.19</v>
      </c>
      <c r="E282" s="10">
        <v>3793.21</v>
      </c>
      <c r="F282" s="10">
        <v>2317.06</v>
      </c>
      <c r="G282" s="10">
        <v>2400.75</v>
      </c>
      <c r="H282" s="10">
        <v>1547.97</v>
      </c>
      <c r="I282" s="10">
        <v>1826.76</v>
      </c>
      <c r="J282" s="10">
        <v>1888.8</v>
      </c>
      <c r="K282" s="10">
        <v>2379.84</v>
      </c>
      <c r="L282" s="10">
        <v>2510.83</v>
      </c>
      <c r="M282" s="10">
        <v>1784.55</v>
      </c>
      <c r="N282" s="10">
        <f>B282+C282+D282+E282+F282+G282+H282+I282+J282+K282+L282+M282</f>
        <v>28984.429999999997</v>
      </c>
    </row>
    <row r="283" spans="1:14" ht="4.95" customHeight="1" x14ac:dyDescent="0.2"/>
    <row r="284" spans="1:14" ht="4.95" customHeight="1" x14ac:dyDescent="0.2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</row>
    <row r="285" spans="1:14" ht="4.95" customHeight="1" x14ac:dyDescent="0.2"/>
    <row r="286" spans="1:14" x14ac:dyDescent="0.2">
      <c r="A286" s="16" t="s">
        <v>191</v>
      </c>
      <c r="B286" s="9">
        <f t="shared" ref="B286:N286" si="62">SUM(B279:B282)</f>
        <v>22648.81</v>
      </c>
      <c r="C286" s="9">
        <f t="shared" si="62"/>
        <v>46708.24</v>
      </c>
      <c r="D286" s="9">
        <f t="shared" si="62"/>
        <v>42272.83</v>
      </c>
      <c r="E286" s="9">
        <f t="shared" si="62"/>
        <v>55395.81</v>
      </c>
      <c r="F286" s="9">
        <f t="shared" si="62"/>
        <v>27853.45</v>
      </c>
      <c r="G286" s="9">
        <f t="shared" si="62"/>
        <v>13672.699999999999</v>
      </c>
      <c r="H286" s="9">
        <f t="shared" si="62"/>
        <v>8458.77</v>
      </c>
      <c r="I286" s="9">
        <f t="shared" si="62"/>
        <v>17290.45</v>
      </c>
      <c r="J286" s="9">
        <f t="shared" si="62"/>
        <v>44680.08</v>
      </c>
      <c r="K286" s="9">
        <f t="shared" si="62"/>
        <v>65119.459999999992</v>
      </c>
      <c r="L286" s="9">
        <f t="shared" si="62"/>
        <v>53573.600000000006</v>
      </c>
      <c r="M286" s="9">
        <f t="shared" si="62"/>
        <v>23866.03</v>
      </c>
      <c r="N286" s="9">
        <f t="shared" si="62"/>
        <v>421540.23000000004</v>
      </c>
    </row>
    <row r="287" spans="1:14" ht="4.95" customHeight="1" x14ac:dyDescent="0.2"/>
    <row r="288" spans="1:14" x14ac:dyDescent="0.2">
      <c r="A288" s="16" t="s">
        <v>192</v>
      </c>
      <c r="B288" s="9">
        <f t="shared" ref="B288:N288" si="63">(B276)-(B286)</f>
        <v>68155.149999999994</v>
      </c>
      <c r="C288" s="9">
        <f t="shared" si="63"/>
        <v>184529.01</v>
      </c>
      <c r="D288" s="9">
        <f t="shared" si="63"/>
        <v>163278.66999999998</v>
      </c>
      <c r="E288" s="9">
        <f t="shared" si="63"/>
        <v>188378.65</v>
      </c>
      <c r="F288" s="9">
        <f t="shared" si="63"/>
        <v>62576.87000000001</v>
      </c>
      <c r="G288" s="9">
        <f t="shared" si="63"/>
        <v>51053.990000000005</v>
      </c>
      <c r="H288" s="9">
        <f t="shared" si="63"/>
        <v>33731.729999999996</v>
      </c>
      <c r="I288" s="9">
        <f t="shared" si="63"/>
        <v>58445.680000000008</v>
      </c>
      <c r="J288" s="9">
        <f t="shared" si="63"/>
        <v>125069.27</v>
      </c>
      <c r="K288" s="9">
        <f t="shared" si="63"/>
        <v>208498.28</v>
      </c>
      <c r="L288" s="9">
        <f t="shared" si="63"/>
        <v>233471.66</v>
      </c>
      <c r="M288" s="9">
        <f t="shared" si="63"/>
        <v>79040.049999999988</v>
      </c>
      <c r="N288" s="9">
        <f t="shared" si="63"/>
        <v>1456229.0100000002</v>
      </c>
    </row>
    <row r="290" spans="1:14" x14ac:dyDescent="0.2">
      <c r="A290" s="16" t="s">
        <v>193</v>
      </c>
    </row>
    <row r="292" spans="1:14" x14ac:dyDescent="0.2">
      <c r="A292" s="16" t="s">
        <v>194</v>
      </c>
    </row>
    <row r="293" spans="1:14" x14ac:dyDescent="0.2">
      <c r="A293" s="16" t="s">
        <v>195</v>
      </c>
    </row>
    <row r="294" spans="1:14" x14ac:dyDescent="0.2">
      <c r="A294" s="17" t="s">
        <v>196</v>
      </c>
      <c r="B294" s="10">
        <v>5631.36</v>
      </c>
      <c r="C294" s="10">
        <v>5363.2</v>
      </c>
      <c r="D294" s="10">
        <v>3613.76</v>
      </c>
      <c r="E294" s="10">
        <v>6100.16</v>
      </c>
      <c r="F294" s="10">
        <v>6100.16</v>
      </c>
      <c r="G294" s="10">
        <v>4748.42</v>
      </c>
      <c r="H294" s="10">
        <v>6420.09</v>
      </c>
      <c r="I294" s="10">
        <v>3368.59</v>
      </c>
      <c r="J294" s="10">
        <v>5664.13</v>
      </c>
      <c r="K294" s="10">
        <v>6140.37</v>
      </c>
      <c r="L294" s="10">
        <v>5940.38</v>
      </c>
      <c r="M294" s="10">
        <v>5584.76</v>
      </c>
      <c r="N294" s="10">
        <f>B294+C294+D294+E294+F294+G294+H294+I294+J294+K294+L294+M294</f>
        <v>64675.37999999999</v>
      </c>
    </row>
    <row r="295" spans="1:14" x14ac:dyDescent="0.2">
      <c r="A295" s="16" t="s">
        <v>197</v>
      </c>
      <c r="B295" s="9">
        <f t="shared" ref="B295:N295" si="64">B294</f>
        <v>5631.36</v>
      </c>
      <c r="C295" s="9">
        <f t="shared" si="64"/>
        <v>5363.2</v>
      </c>
      <c r="D295" s="9">
        <f t="shared" si="64"/>
        <v>3613.76</v>
      </c>
      <c r="E295" s="9">
        <f t="shared" si="64"/>
        <v>6100.16</v>
      </c>
      <c r="F295" s="9">
        <f t="shared" si="64"/>
        <v>6100.16</v>
      </c>
      <c r="G295" s="9">
        <f t="shared" si="64"/>
        <v>4748.42</v>
      </c>
      <c r="H295" s="9">
        <f t="shared" si="64"/>
        <v>6420.09</v>
      </c>
      <c r="I295" s="9">
        <f t="shared" si="64"/>
        <v>3368.59</v>
      </c>
      <c r="J295" s="9">
        <f t="shared" si="64"/>
        <v>5664.13</v>
      </c>
      <c r="K295" s="9">
        <f t="shared" si="64"/>
        <v>6140.37</v>
      </c>
      <c r="L295" s="9">
        <f t="shared" si="64"/>
        <v>5940.38</v>
      </c>
      <c r="M295" s="9">
        <f t="shared" si="64"/>
        <v>5584.76</v>
      </c>
      <c r="N295" s="9">
        <f t="shared" si="64"/>
        <v>64675.37999999999</v>
      </c>
    </row>
    <row r="297" spans="1:14" x14ac:dyDescent="0.2">
      <c r="A297" s="16" t="s">
        <v>198</v>
      </c>
    </row>
    <row r="298" spans="1:14" x14ac:dyDescent="0.2">
      <c r="A298" s="17" t="s">
        <v>199</v>
      </c>
      <c r="B298" s="10">
        <v>1586.07</v>
      </c>
      <c r="C298" s="10">
        <v>2645.78</v>
      </c>
      <c r="D298" s="10">
        <v>2581.91</v>
      </c>
      <c r="E298" s="10">
        <v>2861.96</v>
      </c>
      <c r="F298" s="10">
        <v>2313.42</v>
      </c>
      <c r="G298" s="10">
        <v>1814.45</v>
      </c>
      <c r="H298" s="10">
        <v>1142.97</v>
      </c>
      <c r="I298" s="10">
        <v>1964.89</v>
      </c>
      <c r="J298" s="10">
        <v>2501.94</v>
      </c>
      <c r="K298" s="10">
        <v>3188.34</v>
      </c>
      <c r="L298" s="10">
        <v>2763.33</v>
      </c>
      <c r="M298" s="10">
        <v>2011.27</v>
      </c>
      <c r="N298" s="10">
        <f>B298+C298+D298+E298+F298+G298+H298+I298+J298+K298+L298+M298</f>
        <v>27376.329999999998</v>
      </c>
    </row>
    <row r="299" spans="1:14" x14ac:dyDescent="0.2">
      <c r="A299" s="17" t="s">
        <v>200</v>
      </c>
      <c r="B299" s="10">
        <v>1564.17</v>
      </c>
      <c r="C299" s="10">
        <v>3048.32</v>
      </c>
      <c r="D299" s="10">
        <v>1394.99</v>
      </c>
      <c r="E299" s="10">
        <v>1810.68</v>
      </c>
      <c r="F299" s="10">
        <v>1142.29</v>
      </c>
      <c r="G299" s="10">
        <v>955.43</v>
      </c>
      <c r="H299" s="10">
        <v>259.97000000000003</v>
      </c>
      <c r="I299" s="10">
        <v>968.1</v>
      </c>
      <c r="J299" s="10">
        <v>2845.6</v>
      </c>
      <c r="K299" s="10">
        <v>2998.13</v>
      </c>
      <c r="L299" s="10">
        <v>2992.04</v>
      </c>
      <c r="M299" s="10">
        <v>1357.67</v>
      </c>
      <c r="N299" s="10">
        <f>B299+C299+D299+E299+F299+G299+H299+I299+J299+K299+L299+M299</f>
        <v>21337.39</v>
      </c>
    </row>
    <row r="300" spans="1:14" x14ac:dyDescent="0.2">
      <c r="A300" s="17" t="s">
        <v>201</v>
      </c>
      <c r="B300" s="10">
        <v>4362.53</v>
      </c>
      <c r="C300" s="10">
        <v>6181.82</v>
      </c>
      <c r="D300" s="10">
        <v>5887.16</v>
      </c>
      <c r="E300" s="10">
        <v>6428.64</v>
      </c>
      <c r="F300" s="10">
        <v>5894.67</v>
      </c>
      <c r="G300" s="10">
        <v>4536.6499999999996</v>
      </c>
      <c r="H300" s="10">
        <v>3953.6</v>
      </c>
      <c r="I300" s="10">
        <v>4406.62</v>
      </c>
      <c r="J300" s="10">
        <v>6443.87</v>
      </c>
      <c r="K300" s="10">
        <v>6861.38</v>
      </c>
      <c r="L300" s="10">
        <v>6501.02</v>
      </c>
      <c r="M300" s="10">
        <v>5576.68</v>
      </c>
      <c r="N300" s="10">
        <f>B300+C300+D300+E300+F300+G300+H300+I300+J300+K300+L300+M300</f>
        <v>67034.640000000014</v>
      </c>
    </row>
    <row r="301" spans="1:14" x14ac:dyDescent="0.2">
      <c r="A301" s="17" t="s">
        <v>202</v>
      </c>
      <c r="B301" s="10">
        <v>8900</v>
      </c>
      <c r="C301" s="10">
        <v>13096.5</v>
      </c>
      <c r="D301" s="10">
        <v>11066.25</v>
      </c>
      <c r="E301" s="10">
        <v>12071.25</v>
      </c>
      <c r="F301" s="10">
        <v>9647.25</v>
      </c>
      <c r="G301" s="10">
        <v>4215.5</v>
      </c>
      <c r="H301" s="10">
        <v>427.5</v>
      </c>
      <c r="I301" s="10">
        <v>1917.5</v>
      </c>
      <c r="J301" s="10">
        <v>4758.5</v>
      </c>
      <c r="K301" s="10">
        <v>11478.5</v>
      </c>
      <c r="L301" s="10">
        <v>10467.5</v>
      </c>
      <c r="M301" s="10">
        <v>7736.5</v>
      </c>
      <c r="N301" s="10">
        <f>B301+C301+D301+E301+F301+G301+H301+I301+J301+K301+L301+M301</f>
        <v>95782.75</v>
      </c>
    </row>
    <row r="302" spans="1:14" x14ac:dyDescent="0.2">
      <c r="A302" s="16" t="s">
        <v>203</v>
      </c>
      <c r="B302" s="9">
        <f t="shared" ref="B302:N302" si="65">SUM(B298:B301)</f>
        <v>16412.77</v>
      </c>
      <c r="C302" s="9">
        <f t="shared" si="65"/>
        <v>24972.42</v>
      </c>
      <c r="D302" s="9">
        <f t="shared" si="65"/>
        <v>20930.309999999998</v>
      </c>
      <c r="E302" s="9">
        <f t="shared" si="65"/>
        <v>23172.53</v>
      </c>
      <c r="F302" s="9">
        <f t="shared" si="65"/>
        <v>18997.63</v>
      </c>
      <c r="G302" s="9">
        <f t="shared" si="65"/>
        <v>11522.029999999999</v>
      </c>
      <c r="H302" s="9">
        <f t="shared" si="65"/>
        <v>5784.04</v>
      </c>
      <c r="I302" s="9">
        <f t="shared" si="65"/>
        <v>9257.11</v>
      </c>
      <c r="J302" s="9">
        <f t="shared" si="65"/>
        <v>16549.91</v>
      </c>
      <c r="K302" s="9">
        <f t="shared" si="65"/>
        <v>24526.35</v>
      </c>
      <c r="L302" s="9">
        <f t="shared" si="65"/>
        <v>22723.89</v>
      </c>
      <c r="M302" s="9">
        <f t="shared" si="65"/>
        <v>16682.120000000003</v>
      </c>
      <c r="N302" s="9">
        <f t="shared" si="65"/>
        <v>211531.11000000002</v>
      </c>
    </row>
    <row r="303" spans="1:14" x14ac:dyDescent="0.2">
      <c r="A303" s="16" t="s">
        <v>204</v>
      </c>
      <c r="B303" s="9">
        <f t="shared" ref="B303:N303" si="66">B295+B302</f>
        <v>22044.13</v>
      </c>
      <c r="C303" s="9">
        <f t="shared" si="66"/>
        <v>30335.62</v>
      </c>
      <c r="D303" s="9">
        <f t="shared" si="66"/>
        <v>24544.07</v>
      </c>
      <c r="E303" s="9">
        <f t="shared" si="66"/>
        <v>29272.69</v>
      </c>
      <c r="F303" s="9">
        <f t="shared" si="66"/>
        <v>25097.79</v>
      </c>
      <c r="G303" s="9">
        <f t="shared" si="66"/>
        <v>16270.449999999999</v>
      </c>
      <c r="H303" s="9">
        <f t="shared" si="66"/>
        <v>12204.130000000001</v>
      </c>
      <c r="I303" s="9">
        <f t="shared" si="66"/>
        <v>12625.7</v>
      </c>
      <c r="J303" s="9">
        <f t="shared" si="66"/>
        <v>22214.04</v>
      </c>
      <c r="K303" s="9">
        <f t="shared" si="66"/>
        <v>30666.719999999998</v>
      </c>
      <c r="L303" s="9">
        <f t="shared" si="66"/>
        <v>28664.27</v>
      </c>
      <c r="M303" s="9">
        <f t="shared" si="66"/>
        <v>22266.880000000005</v>
      </c>
      <c r="N303" s="9">
        <f t="shared" si="66"/>
        <v>276206.49</v>
      </c>
    </row>
    <row r="305" spans="1:14" x14ac:dyDescent="0.2">
      <c r="A305" s="16" t="s">
        <v>205</v>
      </c>
    </row>
    <row r="306" spans="1:14" x14ac:dyDescent="0.2">
      <c r="A306" s="17" t="s">
        <v>206</v>
      </c>
      <c r="B306" s="10">
        <v>2428.35</v>
      </c>
      <c r="C306" s="10">
        <v>3168.69</v>
      </c>
      <c r="D306" s="10">
        <v>3473.5</v>
      </c>
      <c r="E306" s="10">
        <v>3025.56</v>
      </c>
      <c r="F306" s="10">
        <v>2236.8000000000002</v>
      </c>
      <c r="G306" s="10">
        <v>1579.11</v>
      </c>
      <c r="H306" s="10">
        <v>1057.3699999999999</v>
      </c>
      <c r="I306" s="10">
        <v>1543.62</v>
      </c>
      <c r="J306" s="10">
        <v>2025.05</v>
      </c>
      <c r="K306" s="10">
        <v>2533.89</v>
      </c>
      <c r="L306" s="10">
        <v>2533.9899999999998</v>
      </c>
      <c r="M306" s="10">
        <v>2007.24</v>
      </c>
      <c r="N306" s="10">
        <f t="shared" ref="N306:N311" si="67">B306+C306+D306+E306+F306+G306+H306+I306+J306+K306+L306+M306</f>
        <v>27613.170000000002</v>
      </c>
    </row>
    <row r="307" spans="1:14" x14ac:dyDescent="0.2">
      <c r="A307" s="17" t="s">
        <v>207</v>
      </c>
      <c r="B307" s="10">
        <v>123.78</v>
      </c>
      <c r="C307" s="10">
        <v>158.91</v>
      </c>
      <c r="D307" s="10">
        <v>116.99</v>
      </c>
      <c r="E307" s="10">
        <v>143.28</v>
      </c>
      <c r="F307" s="10">
        <v>116.86</v>
      </c>
      <c r="G307" s="10">
        <v>92.24</v>
      </c>
      <c r="H307" s="10">
        <v>61.5</v>
      </c>
      <c r="I307" s="10">
        <v>262.95999999999998</v>
      </c>
      <c r="J307" s="10">
        <v>476.5</v>
      </c>
      <c r="K307" s="10">
        <v>580.04</v>
      </c>
      <c r="L307" s="10">
        <v>579.07000000000005</v>
      </c>
      <c r="M307" s="10">
        <v>527.07000000000005</v>
      </c>
      <c r="N307" s="10">
        <f t="shared" si="67"/>
        <v>3239.2000000000003</v>
      </c>
    </row>
    <row r="308" spans="1:14" x14ac:dyDescent="0.2">
      <c r="A308" s="17" t="s">
        <v>208</v>
      </c>
      <c r="B308" s="10">
        <v>411.98</v>
      </c>
      <c r="C308" s="10">
        <v>562.66999999999996</v>
      </c>
      <c r="D308" s="10">
        <v>268.95999999999998</v>
      </c>
      <c r="E308" s="10">
        <v>580.17999999999995</v>
      </c>
      <c r="F308" s="10">
        <v>340.36</v>
      </c>
      <c r="G308" s="10">
        <v>306.23</v>
      </c>
      <c r="H308" s="10">
        <v>236.44</v>
      </c>
      <c r="I308" s="10">
        <v>163.47</v>
      </c>
      <c r="J308" s="10">
        <v>382.36</v>
      </c>
      <c r="K308" s="10">
        <v>497.8</v>
      </c>
      <c r="L308" s="10">
        <v>468.2</v>
      </c>
      <c r="M308" s="10">
        <v>506.76</v>
      </c>
      <c r="N308" s="10">
        <f t="shared" si="67"/>
        <v>4725.4100000000008</v>
      </c>
    </row>
    <row r="309" spans="1:14" x14ac:dyDescent="0.2">
      <c r="A309" s="17" t="s">
        <v>209</v>
      </c>
      <c r="B309" s="10">
        <v>1906.03</v>
      </c>
      <c r="C309" s="10">
        <v>0</v>
      </c>
      <c r="D309" s="10">
        <v>1818.8</v>
      </c>
      <c r="E309" s="10">
        <v>0</v>
      </c>
      <c r="F309" s="10">
        <v>0</v>
      </c>
      <c r="G309" s="10">
        <v>611.44000000000005</v>
      </c>
      <c r="H309" s="10">
        <v>800.24</v>
      </c>
      <c r="I309" s="10">
        <v>2186.08</v>
      </c>
      <c r="J309" s="10">
        <v>262.72000000000003</v>
      </c>
      <c r="K309" s="10">
        <v>0</v>
      </c>
      <c r="L309" s="10">
        <v>0</v>
      </c>
      <c r="M309" s="10">
        <v>802.72</v>
      </c>
      <c r="N309" s="10">
        <f t="shared" si="67"/>
        <v>8388.0300000000007</v>
      </c>
    </row>
    <row r="310" spans="1:14" x14ac:dyDescent="0.2">
      <c r="A310" s="17" t="s">
        <v>210</v>
      </c>
      <c r="B310" s="10">
        <v>106.7</v>
      </c>
      <c r="C310" s="10">
        <v>0</v>
      </c>
      <c r="D310" s="10">
        <v>630.45000000000005</v>
      </c>
      <c r="E310" s="10">
        <v>0</v>
      </c>
      <c r="F310" s="10">
        <v>0</v>
      </c>
      <c r="G310" s="10">
        <v>391.92</v>
      </c>
      <c r="H310" s="10">
        <v>0</v>
      </c>
      <c r="I310" s="10">
        <v>1094</v>
      </c>
      <c r="J310" s="10">
        <v>0</v>
      </c>
      <c r="K310" s="10">
        <v>114.64</v>
      </c>
      <c r="L310" s="10">
        <v>0</v>
      </c>
      <c r="M310" s="10">
        <v>0</v>
      </c>
      <c r="N310" s="10">
        <f t="shared" si="67"/>
        <v>2337.71</v>
      </c>
    </row>
    <row r="311" spans="1:14" x14ac:dyDescent="0.2">
      <c r="A311" s="17" t="s">
        <v>211</v>
      </c>
      <c r="B311" s="10">
        <v>1493.08</v>
      </c>
      <c r="C311" s="10">
        <v>0</v>
      </c>
      <c r="D311" s="10">
        <v>632.1</v>
      </c>
      <c r="E311" s="10">
        <v>0</v>
      </c>
      <c r="F311" s="10">
        <v>0</v>
      </c>
      <c r="G311" s="10">
        <v>1151.23</v>
      </c>
      <c r="H311" s="10">
        <v>589.09</v>
      </c>
      <c r="I311" s="10">
        <v>0</v>
      </c>
      <c r="J311" s="10">
        <v>277.27999999999997</v>
      </c>
      <c r="K311" s="10">
        <v>0</v>
      </c>
      <c r="L311" s="10">
        <v>0</v>
      </c>
      <c r="M311" s="10">
        <v>277.27999999999997</v>
      </c>
      <c r="N311" s="10">
        <f t="shared" si="67"/>
        <v>4420.0599999999995</v>
      </c>
    </row>
    <row r="312" spans="1:14" x14ac:dyDescent="0.2">
      <c r="A312" s="16" t="s">
        <v>212</v>
      </c>
      <c r="B312" s="9">
        <f t="shared" ref="B312:N312" si="68">SUM(B306:B311)</f>
        <v>6469.92</v>
      </c>
      <c r="C312" s="9">
        <f t="shared" si="68"/>
        <v>3890.27</v>
      </c>
      <c r="D312" s="9">
        <f t="shared" si="68"/>
        <v>6940.8</v>
      </c>
      <c r="E312" s="9">
        <f t="shared" si="68"/>
        <v>3749.02</v>
      </c>
      <c r="F312" s="9">
        <f t="shared" si="68"/>
        <v>2694.0200000000004</v>
      </c>
      <c r="G312" s="9">
        <f t="shared" si="68"/>
        <v>4132.17</v>
      </c>
      <c r="H312" s="9">
        <f t="shared" si="68"/>
        <v>2744.6400000000003</v>
      </c>
      <c r="I312" s="9">
        <f t="shared" si="68"/>
        <v>5250.13</v>
      </c>
      <c r="J312" s="9">
        <f t="shared" si="68"/>
        <v>3423.91</v>
      </c>
      <c r="K312" s="9">
        <f t="shared" si="68"/>
        <v>3726.37</v>
      </c>
      <c r="L312" s="9">
        <f t="shared" si="68"/>
        <v>3581.2599999999998</v>
      </c>
      <c r="M312" s="9">
        <f t="shared" si="68"/>
        <v>4121.07</v>
      </c>
      <c r="N312" s="9">
        <f t="shared" si="68"/>
        <v>50723.58</v>
      </c>
    </row>
    <row r="313" spans="1:14" ht="4.95" customHeight="1" x14ac:dyDescent="0.2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 spans="1:14" ht="4.95" customHeight="1" x14ac:dyDescent="0.2"/>
    <row r="315" spans="1:14" x14ac:dyDescent="0.2">
      <c r="A315" s="16" t="s">
        <v>213</v>
      </c>
      <c r="B315" s="9">
        <f t="shared" ref="B315:N315" si="69">B303+B312</f>
        <v>28514.050000000003</v>
      </c>
      <c r="C315" s="9">
        <f t="shared" si="69"/>
        <v>34225.89</v>
      </c>
      <c r="D315" s="9">
        <f t="shared" si="69"/>
        <v>31484.87</v>
      </c>
      <c r="E315" s="9">
        <f t="shared" si="69"/>
        <v>33021.71</v>
      </c>
      <c r="F315" s="9">
        <f t="shared" si="69"/>
        <v>27791.81</v>
      </c>
      <c r="G315" s="9">
        <f t="shared" si="69"/>
        <v>20402.62</v>
      </c>
      <c r="H315" s="9">
        <f t="shared" si="69"/>
        <v>14948.77</v>
      </c>
      <c r="I315" s="9">
        <f t="shared" si="69"/>
        <v>17875.830000000002</v>
      </c>
      <c r="J315" s="9">
        <f t="shared" si="69"/>
        <v>25637.95</v>
      </c>
      <c r="K315" s="9">
        <f t="shared" si="69"/>
        <v>34393.089999999997</v>
      </c>
      <c r="L315" s="9">
        <f t="shared" si="69"/>
        <v>32245.53</v>
      </c>
      <c r="M315" s="9">
        <f t="shared" si="69"/>
        <v>26387.950000000004</v>
      </c>
      <c r="N315" s="9">
        <f t="shared" si="69"/>
        <v>326930.07</v>
      </c>
    </row>
    <row r="316" spans="1:14" ht="4.95" customHeight="1" x14ac:dyDescent="0.2"/>
    <row r="317" spans="1:14" x14ac:dyDescent="0.2">
      <c r="A317" s="16" t="s">
        <v>112</v>
      </c>
    </row>
    <row r="318" spans="1:14" x14ac:dyDescent="0.2">
      <c r="A318" s="17" t="s">
        <v>214</v>
      </c>
      <c r="B318" s="10">
        <v>0</v>
      </c>
      <c r="C318" s="10">
        <v>0</v>
      </c>
      <c r="D318" s="10">
        <v>226.29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291.19</v>
      </c>
      <c r="L318" s="10">
        <v>259.3</v>
      </c>
      <c r="M318" s="10">
        <v>0</v>
      </c>
      <c r="N318" s="10">
        <f t="shared" ref="N318:N332" si="70">B318+C318+D318+E318+F318+G318+H318+I318+J318+K318+L318+M318</f>
        <v>776.78</v>
      </c>
    </row>
    <row r="319" spans="1:14" x14ac:dyDescent="0.2">
      <c r="A319" s="17" t="s">
        <v>215</v>
      </c>
      <c r="B319" s="10">
        <v>13.76</v>
      </c>
      <c r="C319" s="10">
        <v>0</v>
      </c>
      <c r="D319" s="10">
        <v>0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87.07</v>
      </c>
      <c r="L319" s="10">
        <v>0</v>
      </c>
      <c r="M319" s="10">
        <v>0</v>
      </c>
      <c r="N319" s="10">
        <f t="shared" si="70"/>
        <v>100.83</v>
      </c>
    </row>
    <row r="320" spans="1:14" x14ac:dyDescent="0.2">
      <c r="A320" s="17" t="s">
        <v>216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153.93</v>
      </c>
      <c r="K320" s="10">
        <v>583.96</v>
      </c>
      <c r="L320" s="10">
        <v>724.16</v>
      </c>
      <c r="M320" s="10">
        <v>461.79</v>
      </c>
      <c r="N320" s="10">
        <f t="shared" si="70"/>
        <v>1923.8400000000001</v>
      </c>
    </row>
    <row r="321" spans="1:14" x14ac:dyDescent="0.2">
      <c r="A321" s="17" t="s">
        <v>217</v>
      </c>
      <c r="B321" s="10">
        <v>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893</v>
      </c>
      <c r="L321" s="10">
        <v>0</v>
      </c>
      <c r="M321" s="10">
        <v>0</v>
      </c>
      <c r="N321" s="10">
        <f t="shared" si="70"/>
        <v>893</v>
      </c>
    </row>
    <row r="322" spans="1:14" x14ac:dyDescent="0.2">
      <c r="A322" s="17" t="s">
        <v>218</v>
      </c>
      <c r="B322" s="10">
        <v>0</v>
      </c>
      <c r="C322" s="10">
        <v>112.44</v>
      </c>
      <c r="D322" s="10">
        <v>0</v>
      </c>
      <c r="E322" s="10">
        <v>604.54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817.09</v>
      </c>
      <c r="M322" s="10">
        <v>208.42</v>
      </c>
      <c r="N322" s="10">
        <f t="shared" si="70"/>
        <v>1742.4900000000002</v>
      </c>
    </row>
    <row r="323" spans="1:14" x14ac:dyDescent="0.2">
      <c r="A323" s="17" t="s">
        <v>219</v>
      </c>
      <c r="B323" s="10">
        <v>1173.43</v>
      </c>
      <c r="C323" s="10">
        <v>0</v>
      </c>
      <c r="D323" s="10">
        <v>877.91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f t="shared" si="70"/>
        <v>2051.34</v>
      </c>
    </row>
    <row r="324" spans="1:14" x14ac:dyDescent="0.2">
      <c r="A324" s="17" t="s">
        <v>220</v>
      </c>
      <c r="B324" s="10">
        <v>468.89</v>
      </c>
      <c r="C324" s="10">
        <v>2497.11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f t="shared" si="70"/>
        <v>2966</v>
      </c>
    </row>
    <row r="325" spans="1:14" x14ac:dyDescent="0.2">
      <c r="A325" s="17" t="s">
        <v>221</v>
      </c>
      <c r="B325" s="10">
        <v>375.2</v>
      </c>
      <c r="C325" s="10">
        <v>474.23</v>
      </c>
      <c r="D325" s="10">
        <v>411.66</v>
      </c>
      <c r="E325" s="10">
        <v>0</v>
      </c>
      <c r="F325" s="10">
        <v>0</v>
      </c>
      <c r="G325" s="10">
        <v>132.87</v>
      </c>
      <c r="H325" s="10">
        <v>364.45</v>
      </c>
      <c r="I325" s="10">
        <v>318.3</v>
      </c>
      <c r="J325" s="10">
        <v>750.83</v>
      </c>
      <c r="K325" s="10">
        <v>530.5</v>
      </c>
      <c r="L325" s="10">
        <v>434.33</v>
      </c>
      <c r="M325" s="10">
        <v>424.4</v>
      </c>
      <c r="N325" s="10">
        <f t="shared" si="70"/>
        <v>4216.7699999999995</v>
      </c>
    </row>
    <row r="326" spans="1:14" x14ac:dyDescent="0.2">
      <c r="A326" s="17" t="s">
        <v>222</v>
      </c>
      <c r="B326" s="10">
        <v>237.13</v>
      </c>
      <c r="C326" s="10">
        <v>239.77</v>
      </c>
      <c r="D326" s="10">
        <v>345.22</v>
      </c>
      <c r="E326" s="10">
        <v>265.74</v>
      </c>
      <c r="F326" s="10">
        <v>559.87</v>
      </c>
      <c r="G326" s="10">
        <v>0</v>
      </c>
      <c r="H326" s="10">
        <v>421.71</v>
      </c>
      <c r="I326" s="10">
        <v>0</v>
      </c>
      <c r="J326" s="10">
        <v>35.61</v>
      </c>
      <c r="K326" s="10">
        <v>0</v>
      </c>
      <c r="L326" s="10">
        <v>388.33</v>
      </c>
      <c r="M326" s="10">
        <v>489.78</v>
      </c>
      <c r="N326" s="10">
        <f t="shared" si="70"/>
        <v>2983.16</v>
      </c>
    </row>
    <row r="327" spans="1:14" x14ac:dyDescent="0.2">
      <c r="A327" s="17" t="s">
        <v>223</v>
      </c>
      <c r="B327" s="10">
        <v>218.75</v>
      </c>
      <c r="C327" s="10">
        <v>218.75</v>
      </c>
      <c r="D327" s="10">
        <v>382.77</v>
      </c>
      <c r="E327" s="10">
        <v>382.77</v>
      </c>
      <c r="F327" s="10">
        <v>382.77</v>
      </c>
      <c r="G327" s="10">
        <v>419.03</v>
      </c>
      <c r="H327" s="10">
        <v>382.77</v>
      </c>
      <c r="I327" s="10">
        <v>382.77</v>
      </c>
      <c r="J327" s="10">
        <v>382.77</v>
      </c>
      <c r="K327" s="10">
        <v>382.77</v>
      </c>
      <c r="L327" s="10">
        <v>382.77</v>
      </c>
      <c r="M327" s="10">
        <v>382.77</v>
      </c>
      <c r="N327" s="10">
        <f t="shared" si="70"/>
        <v>4301.4599999999991</v>
      </c>
    </row>
    <row r="328" spans="1:14" x14ac:dyDescent="0.2">
      <c r="A328" s="17" t="s">
        <v>224</v>
      </c>
      <c r="B328" s="10">
        <v>0</v>
      </c>
      <c r="C328" s="10">
        <v>5093.32</v>
      </c>
      <c r="D328" s="10">
        <v>-7.0000000000000007E-2</v>
      </c>
      <c r="E328" s="10">
        <v>1976.86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494.33</v>
      </c>
      <c r="L328" s="10">
        <v>494.33</v>
      </c>
      <c r="M328" s="10">
        <v>0</v>
      </c>
      <c r="N328" s="10">
        <f t="shared" si="70"/>
        <v>8058.7699999999995</v>
      </c>
    </row>
    <row r="329" spans="1:14" x14ac:dyDescent="0.2">
      <c r="A329" s="17" t="s">
        <v>225</v>
      </c>
      <c r="B329" s="10">
        <v>1577.05</v>
      </c>
      <c r="C329" s="10">
        <v>1266.5</v>
      </c>
      <c r="D329" s="10">
        <v>1347.85</v>
      </c>
      <c r="E329" s="10">
        <v>1031.8399999999999</v>
      </c>
      <c r="F329" s="10">
        <v>1339.48</v>
      </c>
      <c r="G329" s="10">
        <v>888.72</v>
      </c>
      <c r="H329" s="10">
        <v>969.12</v>
      </c>
      <c r="I329" s="10">
        <v>1426.8</v>
      </c>
      <c r="J329" s="10">
        <v>1427.06</v>
      </c>
      <c r="K329" s="10">
        <v>1304.32</v>
      </c>
      <c r="L329" s="10">
        <v>1264.68</v>
      </c>
      <c r="M329" s="10">
        <v>821.47</v>
      </c>
      <c r="N329" s="10">
        <f t="shared" si="70"/>
        <v>14664.889999999998</v>
      </c>
    </row>
    <row r="330" spans="1:14" x14ac:dyDescent="0.2">
      <c r="A330" s="17" t="s">
        <v>226</v>
      </c>
      <c r="B330" s="10">
        <v>0</v>
      </c>
      <c r="C330" s="10">
        <v>0</v>
      </c>
      <c r="D330" s="10">
        <v>370.79</v>
      </c>
      <c r="E330" s="10">
        <v>86.75</v>
      </c>
      <c r="F330" s="10">
        <v>153.93</v>
      </c>
      <c r="G330" s="10">
        <v>217.98</v>
      </c>
      <c r="H330" s="10">
        <v>0</v>
      </c>
      <c r="I330" s="10">
        <v>0</v>
      </c>
      <c r="J330" s="10">
        <v>0</v>
      </c>
      <c r="K330" s="10">
        <v>135.77000000000001</v>
      </c>
      <c r="L330" s="10">
        <v>40.24</v>
      </c>
      <c r="M330" s="10">
        <v>17.07</v>
      </c>
      <c r="N330" s="10">
        <f t="shared" si="70"/>
        <v>1022.5300000000001</v>
      </c>
    </row>
    <row r="331" spans="1:14" x14ac:dyDescent="0.2">
      <c r="A331" s="17" t="s">
        <v>227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47.5</v>
      </c>
      <c r="K331" s="10">
        <v>0</v>
      </c>
      <c r="L331" s="10">
        <v>0</v>
      </c>
      <c r="M331" s="10">
        <v>0</v>
      </c>
      <c r="N331" s="10">
        <f t="shared" si="70"/>
        <v>47.5</v>
      </c>
    </row>
    <row r="332" spans="1:14" x14ac:dyDescent="0.2">
      <c r="A332" s="17" t="s">
        <v>228</v>
      </c>
      <c r="B332" s="10">
        <v>0</v>
      </c>
      <c r="C332" s="10">
        <v>2420.52</v>
      </c>
      <c r="D332" s="10">
        <v>21.08</v>
      </c>
      <c r="E332" s="10">
        <v>0</v>
      </c>
      <c r="F332" s="10">
        <v>975.9</v>
      </c>
      <c r="G332" s="10">
        <v>0</v>
      </c>
      <c r="H332" s="10">
        <v>0</v>
      </c>
      <c r="I332" s="10">
        <v>0</v>
      </c>
      <c r="J332" s="10">
        <v>0</v>
      </c>
      <c r="K332" s="10">
        <v>179.16</v>
      </c>
      <c r="L332" s="10">
        <v>122.97</v>
      </c>
      <c r="M332" s="10">
        <v>0</v>
      </c>
      <c r="N332" s="10">
        <f t="shared" si="70"/>
        <v>3719.6299999999997</v>
      </c>
    </row>
    <row r="333" spans="1:14" ht="4.95" customHeight="1" x14ac:dyDescent="0.2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r="334" spans="1:14" ht="4.95" customHeight="1" x14ac:dyDescent="0.2"/>
    <row r="335" spans="1:14" x14ac:dyDescent="0.2">
      <c r="A335" s="16" t="s">
        <v>137</v>
      </c>
      <c r="B335" s="9">
        <f t="shared" ref="B335:N335" si="71">SUM(B318:B332)</f>
        <v>4064.21</v>
      </c>
      <c r="C335" s="9">
        <f t="shared" si="71"/>
        <v>12322.64</v>
      </c>
      <c r="D335" s="9">
        <f t="shared" si="71"/>
        <v>3983.5</v>
      </c>
      <c r="E335" s="9">
        <f t="shared" si="71"/>
        <v>4348.5</v>
      </c>
      <c r="F335" s="9">
        <f t="shared" si="71"/>
        <v>3411.95</v>
      </c>
      <c r="G335" s="9">
        <f t="shared" si="71"/>
        <v>1658.6</v>
      </c>
      <c r="H335" s="9">
        <f t="shared" si="71"/>
        <v>2138.0499999999997</v>
      </c>
      <c r="I335" s="9">
        <f t="shared" si="71"/>
        <v>2127.87</v>
      </c>
      <c r="J335" s="9">
        <f t="shared" si="71"/>
        <v>2797.7</v>
      </c>
      <c r="K335" s="9">
        <f t="shared" si="71"/>
        <v>4882.0700000000006</v>
      </c>
      <c r="L335" s="9">
        <f t="shared" si="71"/>
        <v>4928.2</v>
      </c>
      <c r="M335" s="9">
        <f t="shared" si="71"/>
        <v>2805.7000000000003</v>
      </c>
      <c r="N335" s="9">
        <f t="shared" si="71"/>
        <v>49468.989999999991</v>
      </c>
    </row>
    <row r="336" spans="1:14" ht="4.95" customHeight="1" x14ac:dyDescent="0.2"/>
    <row r="337" spans="1:14" ht="4.95" customHeight="1" x14ac:dyDescent="0.2"/>
    <row r="338" spans="1:14" x14ac:dyDescent="0.2">
      <c r="A338" s="16" t="s">
        <v>229</v>
      </c>
      <c r="B338" s="9">
        <f t="shared" ref="B338:N338" si="72">B286+B315+B335</f>
        <v>55227.07</v>
      </c>
      <c r="C338" s="9">
        <f t="shared" si="72"/>
        <v>93256.77</v>
      </c>
      <c r="D338" s="9">
        <f t="shared" si="72"/>
        <v>77741.2</v>
      </c>
      <c r="E338" s="9">
        <f t="shared" si="72"/>
        <v>92766.01999999999</v>
      </c>
      <c r="F338" s="9">
        <f t="shared" si="72"/>
        <v>59057.21</v>
      </c>
      <c r="G338" s="9">
        <f t="shared" si="72"/>
        <v>35733.919999999998</v>
      </c>
      <c r="H338" s="9">
        <f t="shared" si="72"/>
        <v>25545.59</v>
      </c>
      <c r="I338" s="9">
        <f t="shared" si="72"/>
        <v>37294.15</v>
      </c>
      <c r="J338" s="9">
        <f t="shared" si="72"/>
        <v>73115.73</v>
      </c>
      <c r="K338" s="9">
        <f t="shared" si="72"/>
        <v>104394.62</v>
      </c>
      <c r="L338" s="9">
        <f t="shared" si="72"/>
        <v>90747.33</v>
      </c>
      <c r="M338" s="9">
        <f t="shared" si="72"/>
        <v>53059.68</v>
      </c>
      <c r="N338" s="9">
        <f t="shared" si="72"/>
        <v>797939.29</v>
      </c>
    </row>
    <row r="339" spans="1:14" ht="4.95" customHeight="1" x14ac:dyDescent="0.2"/>
    <row r="340" spans="1:14" x14ac:dyDescent="0.2">
      <c r="A340" s="7" t="s">
        <v>230</v>
      </c>
      <c r="B340" s="9">
        <f t="shared" ref="B340:N340" si="73">B276-B338</f>
        <v>35576.889999999992</v>
      </c>
      <c r="C340" s="9">
        <f t="shared" si="73"/>
        <v>137980.47999999998</v>
      </c>
      <c r="D340" s="9">
        <f t="shared" si="73"/>
        <v>127810.3</v>
      </c>
      <c r="E340" s="9">
        <f t="shared" si="73"/>
        <v>151008.44</v>
      </c>
      <c r="F340" s="9">
        <f t="shared" si="73"/>
        <v>31373.110000000008</v>
      </c>
      <c r="G340" s="9">
        <f t="shared" si="73"/>
        <v>28992.770000000004</v>
      </c>
      <c r="H340" s="9">
        <f t="shared" si="73"/>
        <v>16644.91</v>
      </c>
      <c r="I340" s="9">
        <f t="shared" si="73"/>
        <v>38441.980000000003</v>
      </c>
      <c r="J340" s="9">
        <f t="shared" si="73"/>
        <v>96633.62000000001</v>
      </c>
      <c r="K340" s="9">
        <f t="shared" si="73"/>
        <v>169223.12</v>
      </c>
      <c r="L340" s="9">
        <f t="shared" si="73"/>
        <v>196297.93</v>
      </c>
      <c r="M340" s="9">
        <f t="shared" si="73"/>
        <v>49846.399999999987</v>
      </c>
      <c r="N340" s="9">
        <f t="shared" si="73"/>
        <v>1079829.9500000002</v>
      </c>
    </row>
    <row r="341" spans="1:14" ht="4.95" customHeight="1" x14ac:dyDescent="0.2"/>
    <row r="342" spans="1:14" x14ac:dyDescent="0.2">
      <c r="A342" s="16" t="s">
        <v>231</v>
      </c>
    </row>
    <row r="344" spans="1:14" x14ac:dyDescent="0.2">
      <c r="A344" s="16" t="s">
        <v>232</v>
      </c>
    </row>
    <row r="345" spans="1:14" x14ac:dyDescent="0.2">
      <c r="A345" s="16" t="s">
        <v>233</v>
      </c>
    </row>
    <row r="346" spans="1:14" x14ac:dyDescent="0.2">
      <c r="A346" s="17" t="s">
        <v>234</v>
      </c>
      <c r="B346" s="10">
        <v>16684.259999999998</v>
      </c>
      <c r="C346" s="10">
        <v>28327.56</v>
      </c>
      <c r="D346" s="10">
        <v>28565.42</v>
      </c>
      <c r="E346" s="10">
        <v>27667.26</v>
      </c>
      <c r="F346" s="10">
        <v>28253.37</v>
      </c>
      <c r="G346" s="10">
        <v>20317.77</v>
      </c>
      <c r="H346" s="10">
        <v>24465.7</v>
      </c>
      <c r="I346" s="10">
        <v>25557.54</v>
      </c>
      <c r="J346" s="10">
        <v>22786.22</v>
      </c>
      <c r="K346" s="10">
        <v>22972.29</v>
      </c>
      <c r="L346" s="10">
        <v>28563.03</v>
      </c>
      <c r="M346" s="10">
        <v>18768.38</v>
      </c>
      <c r="N346" s="10">
        <f>B346+C346+D346+E346+F346+G346+H346+I346+J346+K346+L346+M346</f>
        <v>292928.80000000005</v>
      </c>
    </row>
    <row r="347" spans="1:14" x14ac:dyDescent="0.2">
      <c r="A347" s="17" t="s">
        <v>235</v>
      </c>
      <c r="B347" s="10">
        <v>4440.8500000000004</v>
      </c>
      <c r="C347" s="10">
        <v>6107.3</v>
      </c>
      <c r="D347" s="10">
        <v>5139.3500000000004</v>
      </c>
      <c r="E347" s="10">
        <v>5859.56</v>
      </c>
      <c r="F347" s="10">
        <v>5463.9</v>
      </c>
      <c r="G347" s="10">
        <v>3593.85</v>
      </c>
      <c r="H347" s="10">
        <v>3814.8</v>
      </c>
      <c r="I347" s="10">
        <v>4588.45</v>
      </c>
      <c r="J347" s="10">
        <v>4107.3999999999996</v>
      </c>
      <c r="K347" s="10">
        <v>9462.82</v>
      </c>
      <c r="L347" s="10">
        <v>4975.57</v>
      </c>
      <c r="M347" s="10">
        <v>4358</v>
      </c>
      <c r="N347" s="10">
        <f>B347+C347+D347+E347+F347+G347+H347+I347+J347+K347+L347+M347</f>
        <v>61911.85</v>
      </c>
    </row>
    <row r="348" spans="1:14" x14ac:dyDescent="0.2">
      <c r="A348" s="17" t="s">
        <v>236</v>
      </c>
      <c r="B348" s="10">
        <v>0</v>
      </c>
      <c r="C348" s="10">
        <v>0</v>
      </c>
      <c r="D348" s="10">
        <v>191.5</v>
      </c>
      <c r="E348" s="10">
        <v>0</v>
      </c>
      <c r="F348" s="10">
        <v>0</v>
      </c>
      <c r="G348" s="10">
        <v>0</v>
      </c>
      <c r="H348" s="10">
        <v>38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f>B348+C348+D348+E348+F348+G348+H348+I348+J348+K348+L348+M348</f>
        <v>229.5</v>
      </c>
    </row>
    <row r="349" spans="1:14" x14ac:dyDescent="0.2">
      <c r="A349" s="17" t="s">
        <v>237</v>
      </c>
      <c r="B349" s="10">
        <v>0</v>
      </c>
      <c r="C349" s="10">
        <v>0</v>
      </c>
      <c r="D349" s="10">
        <v>0</v>
      </c>
      <c r="E349" s="10">
        <v>0</v>
      </c>
      <c r="F349" s="10">
        <v>-123.03</v>
      </c>
      <c r="G349" s="10">
        <v>0</v>
      </c>
      <c r="H349" s="10">
        <v>0</v>
      </c>
      <c r="I349" s="10">
        <v>0</v>
      </c>
      <c r="J349" s="10">
        <v>0</v>
      </c>
      <c r="K349" s="10">
        <v>-500</v>
      </c>
      <c r="L349" s="10">
        <v>-30.31</v>
      </c>
      <c r="M349" s="10">
        <v>-60.28</v>
      </c>
      <c r="N349" s="10">
        <f>B349+C349+D349+E349+F349+G349+H349+I349+J349+K349+L349+M349</f>
        <v>-713.61999999999989</v>
      </c>
    </row>
    <row r="350" spans="1:14" ht="4.95" customHeight="1" x14ac:dyDescent="0.2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</row>
    <row r="351" spans="1:14" ht="4.95" customHeight="1" x14ac:dyDescent="0.2"/>
    <row r="352" spans="1:14" x14ac:dyDescent="0.2">
      <c r="A352" s="16" t="s">
        <v>238</v>
      </c>
      <c r="B352" s="9">
        <f t="shared" ref="B352:N352" si="74">SUM(B346:B349)</f>
        <v>21125.11</v>
      </c>
      <c r="C352" s="9">
        <f t="shared" si="74"/>
        <v>34434.86</v>
      </c>
      <c r="D352" s="9">
        <f t="shared" si="74"/>
        <v>33896.269999999997</v>
      </c>
      <c r="E352" s="9">
        <f t="shared" si="74"/>
        <v>33526.82</v>
      </c>
      <c r="F352" s="9">
        <f t="shared" si="74"/>
        <v>33594.239999999998</v>
      </c>
      <c r="G352" s="9">
        <f t="shared" si="74"/>
        <v>23911.62</v>
      </c>
      <c r="H352" s="9">
        <f t="shared" si="74"/>
        <v>28318.5</v>
      </c>
      <c r="I352" s="9">
        <f t="shared" si="74"/>
        <v>30145.99</v>
      </c>
      <c r="J352" s="9">
        <f t="shared" si="74"/>
        <v>26893.620000000003</v>
      </c>
      <c r="K352" s="9">
        <f t="shared" si="74"/>
        <v>31935.11</v>
      </c>
      <c r="L352" s="9">
        <f t="shared" si="74"/>
        <v>33508.29</v>
      </c>
      <c r="M352" s="9">
        <f t="shared" si="74"/>
        <v>23066.100000000002</v>
      </c>
      <c r="N352" s="9">
        <f t="shared" si="74"/>
        <v>354356.53</v>
      </c>
    </row>
    <row r="353" spans="1:14" ht="4.95" customHeight="1" x14ac:dyDescent="0.2"/>
    <row r="354" spans="1:14" x14ac:dyDescent="0.2">
      <c r="A354" s="16" t="s">
        <v>239</v>
      </c>
    </row>
    <row r="355" spans="1:14" x14ac:dyDescent="0.2">
      <c r="A355" s="17" t="s">
        <v>240</v>
      </c>
      <c r="B355" s="10">
        <v>6.5</v>
      </c>
      <c r="C355" s="10">
        <v>21</v>
      </c>
      <c r="D355" s="10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5.5</v>
      </c>
      <c r="J355" s="10">
        <v>12</v>
      </c>
      <c r="K355" s="10">
        <v>0</v>
      </c>
      <c r="L355" s="10">
        <v>0</v>
      </c>
      <c r="M355" s="10">
        <v>11</v>
      </c>
      <c r="N355" s="10">
        <f>B355+C355+D355+E355+F355+G355+H355+I355+J355+K355+L355+M355</f>
        <v>61.5</v>
      </c>
    </row>
    <row r="356" spans="1:14" x14ac:dyDescent="0.2">
      <c r="A356" s="17" t="s">
        <v>241</v>
      </c>
      <c r="B356" s="10">
        <v>37</v>
      </c>
      <c r="C356" s="10">
        <v>7</v>
      </c>
      <c r="D356" s="10">
        <v>77</v>
      </c>
      <c r="E356" s="10">
        <v>21</v>
      </c>
      <c r="F356" s="10">
        <v>126</v>
      </c>
      <c r="G356" s="10">
        <v>158</v>
      </c>
      <c r="H356" s="10">
        <v>56</v>
      </c>
      <c r="I356" s="10">
        <v>7</v>
      </c>
      <c r="J356" s="10">
        <v>28</v>
      </c>
      <c r="K356" s="10">
        <v>32</v>
      </c>
      <c r="L356" s="10">
        <v>0</v>
      </c>
      <c r="M356" s="10">
        <v>0</v>
      </c>
      <c r="N356" s="10">
        <f>B356+C356+D356+E356+F356+G356+H356+I356+J356+K356+L356+M356</f>
        <v>549</v>
      </c>
    </row>
    <row r="357" spans="1:14" x14ac:dyDescent="0.2">
      <c r="A357" s="17" t="s">
        <v>242</v>
      </c>
      <c r="B357" s="10">
        <v>0</v>
      </c>
      <c r="C357" s="10">
        <v>0</v>
      </c>
      <c r="D357" s="10">
        <v>10</v>
      </c>
      <c r="E357" s="10">
        <v>0</v>
      </c>
      <c r="F357" s="10">
        <v>0</v>
      </c>
      <c r="G357" s="10">
        <v>0</v>
      </c>
      <c r="H357" s="10">
        <v>10</v>
      </c>
      <c r="I357" s="10">
        <v>0</v>
      </c>
      <c r="J357" s="10">
        <v>16</v>
      </c>
      <c r="K357" s="10">
        <v>0</v>
      </c>
      <c r="L357" s="10">
        <v>0</v>
      </c>
      <c r="M357" s="10">
        <v>0</v>
      </c>
      <c r="N357" s="10">
        <f>B357+C357+D357+E357+F357+G357+H357+I357+J357+K357+L357+M357</f>
        <v>36</v>
      </c>
    </row>
    <row r="358" spans="1:14" ht="4.95" customHeight="1" x14ac:dyDescent="0.2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</row>
    <row r="359" spans="1:14" ht="4.95" customHeight="1" x14ac:dyDescent="0.2"/>
    <row r="360" spans="1:14" x14ac:dyDescent="0.2">
      <c r="A360" s="16" t="s">
        <v>243</v>
      </c>
      <c r="B360" s="9">
        <f t="shared" ref="B360:N360" si="75">SUM(B355:B357)</f>
        <v>43.5</v>
      </c>
      <c r="C360" s="9">
        <f t="shared" si="75"/>
        <v>28</v>
      </c>
      <c r="D360" s="9">
        <f t="shared" si="75"/>
        <v>92.5</v>
      </c>
      <c r="E360" s="9">
        <f t="shared" si="75"/>
        <v>21</v>
      </c>
      <c r="F360" s="9">
        <f t="shared" si="75"/>
        <v>126</v>
      </c>
      <c r="G360" s="9">
        <f t="shared" si="75"/>
        <v>158</v>
      </c>
      <c r="H360" s="9">
        <f t="shared" si="75"/>
        <v>66</v>
      </c>
      <c r="I360" s="9">
        <f t="shared" si="75"/>
        <v>12.5</v>
      </c>
      <c r="J360" s="9">
        <f t="shared" si="75"/>
        <v>56</v>
      </c>
      <c r="K360" s="9">
        <f t="shared" si="75"/>
        <v>32</v>
      </c>
      <c r="L360" s="9">
        <f t="shared" si="75"/>
        <v>0</v>
      </c>
      <c r="M360" s="9">
        <f t="shared" si="75"/>
        <v>11</v>
      </c>
      <c r="N360" s="9">
        <f t="shared" si="75"/>
        <v>646.5</v>
      </c>
    </row>
    <row r="361" spans="1:14" ht="4.95" customHeight="1" x14ac:dyDescent="0.2"/>
    <row r="362" spans="1:14" ht="4.95" customHeight="1" x14ac:dyDescent="0.2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 spans="1:14" ht="4.95" customHeight="1" x14ac:dyDescent="0.2"/>
    <row r="364" spans="1:14" x14ac:dyDescent="0.2">
      <c r="A364" s="16" t="s">
        <v>244</v>
      </c>
      <c r="B364" s="9">
        <f t="shared" ref="B364:N364" si="76">B352+B360</f>
        <v>21168.61</v>
      </c>
      <c r="C364" s="9">
        <f t="shared" si="76"/>
        <v>34462.86</v>
      </c>
      <c r="D364" s="9">
        <f t="shared" si="76"/>
        <v>33988.769999999997</v>
      </c>
      <c r="E364" s="9">
        <f t="shared" si="76"/>
        <v>33547.82</v>
      </c>
      <c r="F364" s="9">
        <f t="shared" si="76"/>
        <v>33720.239999999998</v>
      </c>
      <c r="G364" s="9">
        <f t="shared" si="76"/>
        <v>24069.62</v>
      </c>
      <c r="H364" s="9">
        <f t="shared" si="76"/>
        <v>28384.5</v>
      </c>
      <c r="I364" s="9">
        <f t="shared" si="76"/>
        <v>30158.49</v>
      </c>
      <c r="J364" s="9">
        <f t="shared" si="76"/>
        <v>26949.620000000003</v>
      </c>
      <c r="K364" s="9">
        <f t="shared" si="76"/>
        <v>31967.11</v>
      </c>
      <c r="L364" s="9">
        <f t="shared" si="76"/>
        <v>33508.29</v>
      </c>
      <c r="M364" s="9">
        <f t="shared" si="76"/>
        <v>23077.100000000002</v>
      </c>
      <c r="N364" s="9">
        <f t="shared" si="76"/>
        <v>355003.03</v>
      </c>
    </row>
    <row r="366" spans="1:14" x14ac:dyDescent="0.2">
      <c r="A366" s="16" t="s">
        <v>245</v>
      </c>
    </row>
    <row r="367" spans="1:14" x14ac:dyDescent="0.2">
      <c r="A367" s="17" t="s">
        <v>246</v>
      </c>
      <c r="B367" s="10">
        <v>6983.75</v>
      </c>
      <c r="C367" s="10">
        <v>7707.32</v>
      </c>
      <c r="D367" s="10">
        <v>8152.43</v>
      </c>
      <c r="E367" s="10">
        <v>9130.2199999999993</v>
      </c>
      <c r="F367" s="10">
        <v>11888.85</v>
      </c>
      <c r="G367" s="10">
        <v>7787.42</v>
      </c>
      <c r="H367" s="10">
        <v>8729.23</v>
      </c>
      <c r="I367" s="10">
        <v>10782.01</v>
      </c>
      <c r="J367" s="10">
        <v>7359.67</v>
      </c>
      <c r="K367" s="10">
        <v>8261.93</v>
      </c>
      <c r="L367" s="10">
        <v>6405.35</v>
      </c>
      <c r="M367" s="10">
        <v>6981.79</v>
      </c>
      <c r="N367" s="10">
        <f>B367+C367+D367+E367+F367+G367+H367+I367+J367+K367+L367+M367</f>
        <v>100169.96999999999</v>
      </c>
    </row>
    <row r="368" spans="1:14" x14ac:dyDescent="0.2">
      <c r="A368" s="17" t="s">
        <v>247</v>
      </c>
      <c r="B368" s="10">
        <v>6.12</v>
      </c>
      <c r="C368" s="10">
        <v>8.92</v>
      </c>
      <c r="D368" s="10">
        <v>16.11</v>
      </c>
      <c r="E368" s="10">
        <v>2.23</v>
      </c>
      <c r="F368" s="10">
        <v>20.27</v>
      </c>
      <c r="G368" s="10">
        <v>648.61</v>
      </c>
      <c r="H368" s="10">
        <v>10.29</v>
      </c>
      <c r="I368" s="10">
        <v>1.81</v>
      </c>
      <c r="J368" s="10">
        <v>8.81</v>
      </c>
      <c r="K368" s="10">
        <v>5.64</v>
      </c>
      <c r="L368" s="10">
        <v>0</v>
      </c>
      <c r="M368" s="10">
        <v>2.37</v>
      </c>
      <c r="N368" s="10">
        <f>B368+C368+D368+E368+F368+G368+H368+I368+J368+K368+L368+M368</f>
        <v>731.17999999999984</v>
      </c>
    </row>
    <row r="369" spans="1:14" ht="4.95" customHeight="1" x14ac:dyDescent="0.2"/>
    <row r="370" spans="1:14" ht="4.95" customHeight="1" x14ac:dyDescent="0.2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</row>
    <row r="371" spans="1:14" ht="4.95" customHeight="1" x14ac:dyDescent="0.2"/>
    <row r="372" spans="1:14" x14ac:dyDescent="0.2">
      <c r="A372" s="16" t="s">
        <v>248</v>
      </c>
      <c r="B372" s="9">
        <f t="shared" ref="B372:N372" si="77">SUM(B367:B368)</f>
        <v>6989.87</v>
      </c>
      <c r="C372" s="9">
        <f t="shared" si="77"/>
        <v>7716.24</v>
      </c>
      <c r="D372" s="9">
        <f t="shared" si="77"/>
        <v>8168.54</v>
      </c>
      <c r="E372" s="9">
        <f t="shared" si="77"/>
        <v>9132.4499999999989</v>
      </c>
      <c r="F372" s="9">
        <f t="shared" si="77"/>
        <v>11909.12</v>
      </c>
      <c r="G372" s="9">
        <f t="shared" si="77"/>
        <v>8436.0300000000007</v>
      </c>
      <c r="H372" s="9">
        <f t="shared" si="77"/>
        <v>8739.52</v>
      </c>
      <c r="I372" s="9">
        <f t="shared" si="77"/>
        <v>10783.82</v>
      </c>
      <c r="J372" s="9">
        <f t="shared" si="77"/>
        <v>7368.4800000000005</v>
      </c>
      <c r="K372" s="9">
        <f t="shared" si="77"/>
        <v>8267.57</v>
      </c>
      <c r="L372" s="9">
        <f t="shared" si="77"/>
        <v>6405.35</v>
      </c>
      <c r="M372" s="9">
        <f t="shared" si="77"/>
        <v>6984.16</v>
      </c>
      <c r="N372" s="9">
        <f t="shared" si="77"/>
        <v>100901.14999999998</v>
      </c>
    </row>
    <row r="373" spans="1:14" ht="4.95" customHeight="1" x14ac:dyDescent="0.2"/>
    <row r="374" spans="1:14" x14ac:dyDescent="0.2">
      <c r="A374" s="16" t="s">
        <v>192</v>
      </c>
      <c r="B374" s="9">
        <f t="shared" ref="B374:N374" si="78">(B364)-(B372)</f>
        <v>14178.740000000002</v>
      </c>
      <c r="C374" s="9">
        <f t="shared" si="78"/>
        <v>26746.620000000003</v>
      </c>
      <c r="D374" s="9">
        <f t="shared" si="78"/>
        <v>25820.229999999996</v>
      </c>
      <c r="E374" s="9">
        <f t="shared" si="78"/>
        <v>24415.370000000003</v>
      </c>
      <c r="F374" s="9">
        <f t="shared" si="78"/>
        <v>21811.119999999995</v>
      </c>
      <c r="G374" s="9">
        <f t="shared" si="78"/>
        <v>15633.589999999998</v>
      </c>
      <c r="H374" s="9">
        <f t="shared" si="78"/>
        <v>19644.98</v>
      </c>
      <c r="I374" s="9">
        <f t="shared" si="78"/>
        <v>19374.670000000002</v>
      </c>
      <c r="J374" s="9">
        <f t="shared" si="78"/>
        <v>19581.140000000003</v>
      </c>
      <c r="K374" s="9">
        <f t="shared" si="78"/>
        <v>23699.54</v>
      </c>
      <c r="L374" s="9">
        <f t="shared" si="78"/>
        <v>27102.940000000002</v>
      </c>
      <c r="M374" s="9">
        <f t="shared" si="78"/>
        <v>16092.940000000002</v>
      </c>
      <c r="N374" s="9">
        <f t="shared" si="78"/>
        <v>254101.88000000006</v>
      </c>
    </row>
    <row r="376" spans="1:14" x14ac:dyDescent="0.2">
      <c r="A376" s="16" t="s">
        <v>249</v>
      </c>
    </row>
    <row r="378" spans="1:14" x14ac:dyDescent="0.2">
      <c r="A378" s="16" t="s">
        <v>250</v>
      </c>
    </row>
    <row r="379" spans="1:14" x14ac:dyDescent="0.2">
      <c r="A379" s="16" t="s">
        <v>251</v>
      </c>
    </row>
    <row r="380" spans="1:14" x14ac:dyDescent="0.2">
      <c r="A380" s="17" t="s">
        <v>252</v>
      </c>
      <c r="B380" s="10">
        <v>7267.68</v>
      </c>
      <c r="C380" s="10">
        <v>6921.6</v>
      </c>
      <c r="D380" s="10">
        <v>6921.6</v>
      </c>
      <c r="E380" s="10">
        <v>4623.84</v>
      </c>
      <c r="F380" s="10">
        <v>5651.36</v>
      </c>
      <c r="G380" s="10">
        <v>4656.58</v>
      </c>
      <c r="H380" s="10">
        <v>3379.34</v>
      </c>
      <c r="I380" s="10">
        <v>5690.59</v>
      </c>
      <c r="J380" s="10">
        <v>5248.27</v>
      </c>
      <c r="K380" s="10">
        <v>5689.58</v>
      </c>
      <c r="L380" s="10">
        <v>5504.28</v>
      </c>
      <c r="M380" s="10">
        <v>4147.07</v>
      </c>
      <c r="N380" s="10">
        <f>B380+C380+D380+E380+F380+G380+H380+I380+J380+K380+L380+M380</f>
        <v>65701.790000000008</v>
      </c>
    </row>
    <row r="381" spans="1:14" x14ac:dyDescent="0.2">
      <c r="A381" s="17" t="s">
        <v>253</v>
      </c>
      <c r="B381" s="10">
        <v>4160</v>
      </c>
      <c r="C381" s="10">
        <v>4160</v>
      </c>
      <c r="D381" s="10">
        <v>4378.3999999999996</v>
      </c>
      <c r="E381" s="10">
        <v>873.6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f>B381+C381+D381+E381+F381+G381+H381+I381+J381+K381+L381+M381</f>
        <v>13572</v>
      </c>
    </row>
    <row r="382" spans="1:14" x14ac:dyDescent="0.2">
      <c r="A382" s="17" t="s">
        <v>254</v>
      </c>
      <c r="B382" s="10">
        <v>5290.32</v>
      </c>
      <c r="C382" s="10">
        <v>5038.3999999999996</v>
      </c>
      <c r="D382" s="10">
        <v>5154.32</v>
      </c>
      <c r="E382" s="10">
        <v>5663.68</v>
      </c>
      <c r="F382" s="10">
        <v>5663.68</v>
      </c>
      <c r="G382" s="10">
        <v>4666.1000000000004</v>
      </c>
      <c r="H382" s="10">
        <v>5960.73</v>
      </c>
      <c r="I382" s="10">
        <v>5187.07</v>
      </c>
      <c r="J382" s="10">
        <v>1949.46</v>
      </c>
      <c r="K382" s="10">
        <v>0</v>
      </c>
      <c r="L382" s="10">
        <v>5515.33</v>
      </c>
      <c r="M382" s="10">
        <v>2102.69</v>
      </c>
      <c r="N382" s="10">
        <f>B382+C382+D382+E382+F382+G382+H382+I382+J382+K382+L382+M382</f>
        <v>52191.78</v>
      </c>
    </row>
    <row r="383" spans="1:14" x14ac:dyDescent="0.2">
      <c r="A383" s="16" t="s">
        <v>255</v>
      </c>
      <c r="B383" s="9">
        <f t="shared" ref="B383:N383" si="79">SUM(B380:B382)</f>
        <v>16718</v>
      </c>
      <c r="C383" s="9">
        <f t="shared" si="79"/>
        <v>16120</v>
      </c>
      <c r="D383" s="9">
        <f t="shared" si="79"/>
        <v>16454.32</v>
      </c>
      <c r="E383" s="9">
        <f t="shared" si="79"/>
        <v>11161.12</v>
      </c>
      <c r="F383" s="9">
        <f t="shared" si="79"/>
        <v>11315.04</v>
      </c>
      <c r="G383" s="9">
        <f t="shared" si="79"/>
        <v>9322.68</v>
      </c>
      <c r="H383" s="9">
        <f t="shared" si="79"/>
        <v>9340.07</v>
      </c>
      <c r="I383" s="9">
        <f t="shared" si="79"/>
        <v>10877.66</v>
      </c>
      <c r="J383" s="9">
        <f t="shared" si="79"/>
        <v>7197.7300000000005</v>
      </c>
      <c r="K383" s="9">
        <f t="shared" si="79"/>
        <v>5689.58</v>
      </c>
      <c r="L383" s="9">
        <f t="shared" si="79"/>
        <v>11019.61</v>
      </c>
      <c r="M383" s="9">
        <f t="shared" si="79"/>
        <v>6249.76</v>
      </c>
      <c r="N383" s="9">
        <f t="shared" si="79"/>
        <v>131465.57</v>
      </c>
    </row>
    <row r="385" spans="1:14" x14ac:dyDescent="0.2">
      <c r="A385" s="16" t="s">
        <v>256</v>
      </c>
    </row>
    <row r="386" spans="1:14" x14ac:dyDescent="0.2">
      <c r="A386" s="17" t="s">
        <v>257</v>
      </c>
      <c r="B386" s="10">
        <v>1679.48</v>
      </c>
      <c r="C386" s="10">
        <v>1858.56</v>
      </c>
      <c r="D386" s="10">
        <v>1814.12</v>
      </c>
      <c r="E386" s="10">
        <v>1973.12</v>
      </c>
      <c r="F386" s="10">
        <v>2369.11</v>
      </c>
      <c r="G386" s="10">
        <v>1664.03</v>
      </c>
      <c r="H386" s="10">
        <v>2066.16</v>
      </c>
      <c r="I386" s="10">
        <v>1760.88</v>
      </c>
      <c r="J386" s="10">
        <v>2067.75</v>
      </c>
      <c r="K386" s="10">
        <v>2302.58</v>
      </c>
      <c r="L386" s="10">
        <v>2214.84</v>
      </c>
      <c r="M386" s="10">
        <v>1624.89</v>
      </c>
      <c r="N386" s="10">
        <f>B386+C386+D386+E386+F386+G386+H386+I386+J386+K386+L386+M386</f>
        <v>23395.52</v>
      </c>
    </row>
    <row r="387" spans="1:14" x14ac:dyDescent="0.2">
      <c r="A387" s="17" t="s">
        <v>258</v>
      </c>
      <c r="B387" s="10">
        <v>21640.86</v>
      </c>
      <c r="C387" s="10">
        <v>19659.580000000002</v>
      </c>
      <c r="D387" s="10">
        <v>23499.72</v>
      </c>
      <c r="E387" s="10">
        <v>25625.81</v>
      </c>
      <c r="F387" s="10">
        <v>24963.16</v>
      </c>
      <c r="G387" s="10">
        <v>19565.22</v>
      </c>
      <c r="H387" s="10">
        <v>19317.04</v>
      </c>
      <c r="I387" s="10">
        <v>21948.02</v>
      </c>
      <c r="J387" s="10">
        <v>21524.16</v>
      </c>
      <c r="K387" s="10">
        <v>27250.2</v>
      </c>
      <c r="L387" s="10">
        <v>22045.63</v>
      </c>
      <c r="M387" s="10">
        <v>18396.11</v>
      </c>
      <c r="N387" s="10">
        <f>B387+C387+D387+E387+F387+G387+H387+I387+J387+K387+L387+M387</f>
        <v>265435.51</v>
      </c>
    </row>
    <row r="388" spans="1:14" x14ac:dyDescent="0.2">
      <c r="A388" s="17" t="s">
        <v>259</v>
      </c>
      <c r="B388" s="10">
        <v>3586.58</v>
      </c>
      <c r="C388" s="10">
        <v>3643.51</v>
      </c>
      <c r="D388" s="10">
        <v>4159.84</v>
      </c>
      <c r="E388" s="10">
        <v>3961.94</v>
      </c>
      <c r="F388" s="10">
        <v>4398.67</v>
      </c>
      <c r="G388" s="10">
        <v>3292.22</v>
      </c>
      <c r="H388" s="10">
        <v>3456.47</v>
      </c>
      <c r="I388" s="10">
        <v>2919.7</v>
      </c>
      <c r="J388" s="10">
        <v>3019.37</v>
      </c>
      <c r="K388" s="10">
        <v>2164.75</v>
      </c>
      <c r="L388" s="10">
        <v>4295.38</v>
      </c>
      <c r="M388" s="10">
        <v>3913.97</v>
      </c>
      <c r="N388" s="10">
        <f>B388+C388+D388+E388+F388+G388+H388+I388+J388+K388+L388+M388</f>
        <v>42812.4</v>
      </c>
    </row>
    <row r="389" spans="1:14" x14ac:dyDescent="0.2">
      <c r="A389" s="17" t="s">
        <v>260</v>
      </c>
      <c r="B389" s="10">
        <v>0</v>
      </c>
      <c r="C389" s="10">
        <v>0</v>
      </c>
      <c r="D389" s="10">
        <v>180.5</v>
      </c>
      <c r="E389" s="10">
        <v>0</v>
      </c>
      <c r="F389" s="10">
        <v>0</v>
      </c>
      <c r="G389" s="10">
        <v>0</v>
      </c>
      <c r="H389" s="10">
        <v>304</v>
      </c>
      <c r="I389" s="10">
        <v>95</v>
      </c>
      <c r="J389" s="10">
        <v>487.5</v>
      </c>
      <c r="K389" s="10">
        <v>2628.75</v>
      </c>
      <c r="L389" s="10">
        <v>1195.5</v>
      </c>
      <c r="M389" s="10">
        <v>0</v>
      </c>
      <c r="N389" s="10">
        <f>B389+C389+D389+E389+F389+G389+H389+I389+J389+K389+L389+M389</f>
        <v>4891.25</v>
      </c>
    </row>
    <row r="390" spans="1:14" x14ac:dyDescent="0.2">
      <c r="A390" s="16" t="s">
        <v>261</v>
      </c>
      <c r="B390" s="9">
        <f t="shared" ref="B390:N390" si="80">SUM(B386:B389)</f>
        <v>26906.92</v>
      </c>
      <c r="C390" s="9">
        <f t="shared" si="80"/>
        <v>25161.65</v>
      </c>
      <c r="D390" s="9">
        <f t="shared" si="80"/>
        <v>29654.18</v>
      </c>
      <c r="E390" s="9">
        <f t="shared" si="80"/>
        <v>31560.87</v>
      </c>
      <c r="F390" s="9">
        <f t="shared" si="80"/>
        <v>31730.940000000002</v>
      </c>
      <c r="G390" s="9">
        <f t="shared" si="80"/>
        <v>24521.47</v>
      </c>
      <c r="H390" s="9">
        <f t="shared" si="80"/>
        <v>25143.670000000002</v>
      </c>
      <c r="I390" s="9">
        <f t="shared" si="80"/>
        <v>26723.600000000002</v>
      </c>
      <c r="J390" s="9">
        <f t="shared" si="80"/>
        <v>27098.78</v>
      </c>
      <c r="K390" s="9">
        <f t="shared" si="80"/>
        <v>34346.28</v>
      </c>
      <c r="L390" s="9">
        <f t="shared" si="80"/>
        <v>29751.350000000002</v>
      </c>
      <c r="M390" s="9">
        <f t="shared" si="80"/>
        <v>23934.97</v>
      </c>
      <c r="N390" s="9">
        <f t="shared" si="80"/>
        <v>336534.68000000005</v>
      </c>
    </row>
    <row r="391" spans="1:14" x14ac:dyDescent="0.2">
      <c r="A391" s="16" t="s">
        <v>262</v>
      </c>
      <c r="B391" s="9">
        <f t="shared" ref="B391:N391" si="81">B383+B390</f>
        <v>43624.92</v>
      </c>
      <c r="C391" s="9">
        <f t="shared" si="81"/>
        <v>41281.65</v>
      </c>
      <c r="D391" s="9">
        <f t="shared" si="81"/>
        <v>46108.5</v>
      </c>
      <c r="E391" s="9">
        <f t="shared" si="81"/>
        <v>42721.99</v>
      </c>
      <c r="F391" s="9">
        <f t="shared" si="81"/>
        <v>43045.98</v>
      </c>
      <c r="G391" s="9">
        <f t="shared" si="81"/>
        <v>33844.15</v>
      </c>
      <c r="H391" s="9">
        <f t="shared" si="81"/>
        <v>34483.740000000005</v>
      </c>
      <c r="I391" s="9">
        <f t="shared" si="81"/>
        <v>37601.26</v>
      </c>
      <c r="J391" s="9">
        <f t="shared" si="81"/>
        <v>34296.51</v>
      </c>
      <c r="K391" s="9">
        <f t="shared" si="81"/>
        <v>40035.86</v>
      </c>
      <c r="L391" s="9">
        <f t="shared" si="81"/>
        <v>40770.960000000006</v>
      </c>
      <c r="M391" s="9">
        <f t="shared" si="81"/>
        <v>30184.730000000003</v>
      </c>
      <c r="N391" s="9">
        <f t="shared" si="81"/>
        <v>468000.25000000006</v>
      </c>
    </row>
    <row r="393" spans="1:14" x14ac:dyDescent="0.2">
      <c r="A393" s="16" t="s">
        <v>263</v>
      </c>
    </row>
    <row r="394" spans="1:14" x14ac:dyDescent="0.2">
      <c r="A394" s="17" t="s">
        <v>264</v>
      </c>
      <c r="B394" s="10">
        <v>4805.66</v>
      </c>
      <c r="C394" s="10">
        <v>4312.05</v>
      </c>
      <c r="D394" s="10">
        <v>6525.32</v>
      </c>
      <c r="E394" s="10">
        <v>4415.6499999999996</v>
      </c>
      <c r="F394" s="10">
        <v>3836.4</v>
      </c>
      <c r="G394" s="10">
        <v>3284.7</v>
      </c>
      <c r="H394" s="10">
        <v>2987.69</v>
      </c>
      <c r="I394" s="10">
        <v>4597.1400000000003</v>
      </c>
      <c r="J394" s="10">
        <v>3126.5</v>
      </c>
      <c r="K394" s="10">
        <v>3308.03</v>
      </c>
      <c r="L394" s="10">
        <v>3604.25</v>
      </c>
      <c r="M394" s="10">
        <v>2720.99</v>
      </c>
      <c r="N394" s="10">
        <f t="shared" ref="N394:N399" si="82">B394+C394+D394+E394+F394+G394+H394+I394+J394+K394+L394+M394</f>
        <v>47524.38</v>
      </c>
    </row>
    <row r="395" spans="1:14" x14ac:dyDescent="0.2">
      <c r="A395" s="17" t="s">
        <v>265</v>
      </c>
      <c r="B395" s="10">
        <v>244.96</v>
      </c>
      <c r="C395" s="10">
        <v>216.25</v>
      </c>
      <c r="D395" s="10">
        <v>219.79</v>
      </c>
      <c r="E395" s="10">
        <v>209.1</v>
      </c>
      <c r="F395" s="10">
        <v>200.43</v>
      </c>
      <c r="G395" s="10">
        <v>191.86</v>
      </c>
      <c r="H395" s="10">
        <v>173.78</v>
      </c>
      <c r="I395" s="10">
        <v>783.14</v>
      </c>
      <c r="J395" s="10">
        <v>735.68</v>
      </c>
      <c r="K395" s="10">
        <v>757.25</v>
      </c>
      <c r="L395" s="10">
        <v>823.64</v>
      </c>
      <c r="M395" s="10">
        <v>714.49</v>
      </c>
      <c r="N395" s="10">
        <f t="shared" si="82"/>
        <v>5270.37</v>
      </c>
    </row>
    <row r="396" spans="1:14" x14ac:dyDescent="0.2">
      <c r="A396" s="17" t="s">
        <v>266</v>
      </c>
      <c r="B396" s="10">
        <v>815.3</v>
      </c>
      <c r="C396" s="10">
        <v>765.7</v>
      </c>
      <c r="D396" s="10">
        <v>505.27</v>
      </c>
      <c r="E396" s="10">
        <v>846.74</v>
      </c>
      <c r="F396" s="10">
        <v>583.76</v>
      </c>
      <c r="G396" s="10">
        <v>1162.93</v>
      </c>
      <c r="H396" s="10">
        <v>668.09</v>
      </c>
      <c r="I396" s="10">
        <v>486.85</v>
      </c>
      <c r="J396" s="10">
        <v>590.34</v>
      </c>
      <c r="K396" s="10">
        <v>649.89</v>
      </c>
      <c r="L396" s="10">
        <v>665.95</v>
      </c>
      <c r="M396" s="10">
        <v>686.96</v>
      </c>
      <c r="N396" s="10">
        <f t="shared" si="82"/>
        <v>8427.7800000000025</v>
      </c>
    </row>
    <row r="397" spans="1:14" x14ac:dyDescent="0.2">
      <c r="A397" s="17" t="s">
        <v>267</v>
      </c>
      <c r="B397" s="10">
        <v>1436.57</v>
      </c>
      <c r="C397" s="10">
        <v>1357.96</v>
      </c>
      <c r="D397" s="10">
        <v>2483.9299999999998</v>
      </c>
      <c r="E397" s="10">
        <v>197.36</v>
      </c>
      <c r="F397" s="10">
        <v>1680</v>
      </c>
      <c r="G397" s="10">
        <v>1091.92</v>
      </c>
      <c r="H397" s="10">
        <v>2460.62</v>
      </c>
      <c r="I397" s="10">
        <v>2403.2399999999998</v>
      </c>
      <c r="J397" s="10">
        <v>1970.75</v>
      </c>
      <c r="K397" s="10">
        <v>5978.36</v>
      </c>
      <c r="L397" s="10">
        <v>560.72</v>
      </c>
      <c r="M397" s="10">
        <v>1783.89</v>
      </c>
      <c r="N397" s="10">
        <f t="shared" si="82"/>
        <v>23405.319999999996</v>
      </c>
    </row>
    <row r="398" spans="1:14" x14ac:dyDescent="0.2">
      <c r="A398" s="17" t="s">
        <v>268</v>
      </c>
      <c r="B398" s="10">
        <v>226.13</v>
      </c>
      <c r="C398" s="10">
        <v>443.84</v>
      </c>
      <c r="D398" s="10">
        <v>1371.98</v>
      </c>
      <c r="E398" s="10">
        <v>103.92</v>
      </c>
      <c r="F398" s="10">
        <v>284.95999999999998</v>
      </c>
      <c r="G398" s="10">
        <v>284.95999999999998</v>
      </c>
      <c r="H398" s="10">
        <v>0</v>
      </c>
      <c r="I398" s="10">
        <v>1418.72</v>
      </c>
      <c r="J398" s="10">
        <v>2574.4</v>
      </c>
      <c r="K398" s="10">
        <v>459.8</v>
      </c>
      <c r="L398" s="10">
        <v>452</v>
      </c>
      <c r="M398" s="10">
        <v>888.24</v>
      </c>
      <c r="N398" s="10">
        <f t="shared" si="82"/>
        <v>8508.9500000000007</v>
      </c>
    </row>
    <row r="399" spans="1:14" x14ac:dyDescent="0.2">
      <c r="A399" s="17" t="s">
        <v>269</v>
      </c>
      <c r="B399" s="10">
        <v>4164.38</v>
      </c>
      <c r="C399" s="10">
        <v>0</v>
      </c>
      <c r="D399" s="10">
        <v>2004.38</v>
      </c>
      <c r="E399" s="10">
        <v>0</v>
      </c>
      <c r="F399" s="10">
        <v>0</v>
      </c>
      <c r="G399" s="10">
        <v>3350.05</v>
      </c>
      <c r="H399" s="10">
        <v>1700.7</v>
      </c>
      <c r="I399" s="10">
        <v>0</v>
      </c>
      <c r="J399" s="10">
        <v>1642.77</v>
      </c>
      <c r="K399" s="10">
        <v>0</v>
      </c>
      <c r="L399" s="10">
        <v>0</v>
      </c>
      <c r="M399" s="10">
        <v>1374.04</v>
      </c>
      <c r="N399" s="10">
        <f t="shared" si="82"/>
        <v>14236.320000000003</v>
      </c>
    </row>
    <row r="400" spans="1:14" x14ac:dyDescent="0.2">
      <c r="A400" s="16" t="s">
        <v>270</v>
      </c>
      <c r="B400" s="9">
        <f t="shared" ref="B400:N400" si="83">SUM(B394:B399)</f>
        <v>11693</v>
      </c>
      <c r="C400" s="9">
        <f t="shared" si="83"/>
        <v>7095.8</v>
      </c>
      <c r="D400" s="9">
        <f t="shared" si="83"/>
        <v>13110.669999999998</v>
      </c>
      <c r="E400" s="9">
        <f t="shared" si="83"/>
        <v>5772.7699999999995</v>
      </c>
      <c r="F400" s="9">
        <f t="shared" si="83"/>
        <v>6585.55</v>
      </c>
      <c r="G400" s="9">
        <f t="shared" si="83"/>
        <v>9366.42</v>
      </c>
      <c r="H400" s="9">
        <f t="shared" si="83"/>
        <v>7990.88</v>
      </c>
      <c r="I400" s="9">
        <f t="shared" si="83"/>
        <v>9689.09</v>
      </c>
      <c r="J400" s="9">
        <f t="shared" si="83"/>
        <v>10640.44</v>
      </c>
      <c r="K400" s="9">
        <f t="shared" si="83"/>
        <v>11153.329999999998</v>
      </c>
      <c r="L400" s="9">
        <f t="shared" si="83"/>
        <v>6106.56</v>
      </c>
      <c r="M400" s="9">
        <f t="shared" si="83"/>
        <v>8168.61</v>
      </c>
      <c r="N400" s="9">
        <f t="shared" si="83"/>
        <v>107373.12</v>
      </c>
    </row>
    <row r="401" spans="1:14" ht="4.95" customHeight="1" x14ac:dyDescent="0.2">
      <c r="A401" s="11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1:14" ht="4.95" customHeight="1" x14ac:dyDescent="0.2"/>
    <row r="403" spans="1:14" x14ac:dyDescent="0.2">
      <c r="A403" s="16" t="s">
        <v>271</v>
      </c>
      <c r="B403" s="9">
        <f t="shared" ref="B403:N403" si="84">B391+B400</f>
        <v>55317.919999999998</v>
      </c>
      <c r="C403" s="9">
        <f t="shared" si="84"/>
        <v>48377.450000000004</v>
      </c>
      <c r="D403" s="9">
        <f t="shared" si="84"/>
        <v>59219.17</v>
      </c>
      <c r="E403" s="9">
        <f t="shared" si="84"/>
        <v>48494.759999999995</v>
      </c>
      <c r="F403" s="9">
        <f t="shared" si="84"/>
        <v>49631.530000000006</v>
      </c>
      <c r="G403" s="9">
        <f t="shared" si="84"/>
        <v>43210.57</v>
      </c>
      <c r="H403" s="9">
        <f t="shared" si="84"/>
        <v>42474.62</v>
      </c>
      <c r="I403" s="9">
        <f t="shared" si="84"/>
        <v>47290.350000000006</v>
      </c>
      <c r="J403" s="9">
        <f t="shared" si="84"/>
        <v>44936.950000000004</v>
      </c>
      <c r="K403" s="9">
        <f t="shared" si="84"/>
        <v>51189.19</v>
      </c>
      <c r="L403" s="9">
        <f t="shared" si="84"/>
        <v>46877.520000000004</v>
      </c>
      <c r="M403" s="9">
        <f t="shared" si="84"/>
        <v>38353.340000000004</v>
      </c>
      <c r="N403" s="9">
        <f t="shared" si="84"/>
        <v>575373.37000000011</v>
      </c>
    </row>
    <row r="404" spans="1:14" ht="4.95" customHeight="1" x14ac:dyDescent="0.2"/>
    <row r="405" spans="1:14" x14ac:dyDescent="0.2">
      <c r="A405" s="16" t="s">
        <v>112</v>
      </c>
    </row>
    <row r="406" spans="1:14" x14ac:dyDescent="0.2">
      <c r="A406" s="17" t="s">
        <v>272</v>
      </c>
      <c r="B406" s="10">
        <v>0</v>
      </c>
      <c r="C406" s="10">
        <v>0</v>
      </c>
      <c r="D406" s="10">
        <v>102.31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f t="shared" ref="N406:N419" si="85">B406+C406+D406+E406+F406+G406+H406+I406+J406+K406+L406+M406</f>
        <v>102.31</v>
      </c>
    </row>
    <row r="407" spans="1:14" x14ac:dyDescent="0.2">
      <c r="A407" s="17" t="s">
        <v>273</v>
      </c>
      <c r="B407" s="10">
        <v>1290.9000000000001</v>
      </c>
      <c r="C407" s="10">
        <v>2041.72</v>
      </c>
      <c r="D407" s="10">
        <v>1878.18</v>
      </c>
      <c r="E407" s="10">
        <v>1747.54</v>
      </c>
      <c r="F407" s="10">
        <v>2247.1799999999998</v>
      </c>
      <c r="G407" s="10">
        <v>1074.22</v>
      </c>
      <c r="H407" s="10">
        <v>1142.8900000000001</v>
      </c>
      <c r="I407" s="10">
        <v>2425.61</v>
      </c>
      <c r="J407" s="10">
        <v>2150.54</v>
      </c>
      <c r="K407" s="10">
        <v>2687.33</v>
      </c>
      <c r="L407" s="10">
        <v>1883.23</v>
      </c>
      <c r="M407" s="10">
        <v>1782.86</v>
      </c>
      <c r="N407" s="10">
        <f t="shared" si="85"/>
        <v>22352.2</v>
      </c>
    </row>
    <row r="408" spans="1:14" x14ac:dyDescent="0.2">
      <c r="A408" s="17" t="s">
        <v>274</v>
      </c>
      <c r="B408" s="10">
        <v>0</v>
      </c>
      <c r="C408" s="10">
        <v>0</v>
      </c>
      <c r="D408" s="10">
        <v>0</v>
      </c>
      <c r="E408" s="10">
        <v>0</v>
      </c>
      <c r="F408" s="10">
        <v>0</v>
      </c>
      <c r="G408" s="10">
        <v>0</v>
      </c>
      <c r="H408" s="10">
        <v>0</v>
      </c>
      <c r="I408" s="10">
        <v>0</v>
      </c>
      <c r="J408" s="10">
        <v>519.61</v>
      </c>
      <c r="K408" s="10">
        <v>0</v>
      </c>
      <c r="L408" s="10">
        <v>0</v>
      </c>
      <c r="M408" s="10">
        <v>0</v>
      </c>
      <c r="N408" s="10">
        <f t="shared" si="85"/>
        <v>519.61</v>
      </c>
    </row>
    <row r="409" spans="1:14" x14ac:dyDescent="0.2">
      <c r="A409" s="17" t="s">
        <v>275</v>
      </c>
      <c r="B409" s="10">
        <v>606.16</v>
      </c>
      <c r="C409" s="10">
        <v>606.16</v>
      </c>
      <c r="D409" s="10">
        <v>606.16</v>
      </c>
      <c r="E409" s="10">
        <v>606.16</v>
      </c>
      <c r="F409" s="10">
        <v>606.16</v>
      </c>
      <c r="G409" s="10">
        <v>606.16</v>
      </c>
      <c r="H409" s="10">
        <v>606.16</v>
      </c>
      <c r="I409" s="10">
        <v>606.15</v>
      </c>
      <c r="J409" s="10">
        <v>606.16</v>
      </c>
      <c r="K409" s="10">
        <v>606.16</v>
      </c>
      <c r="L409" s="10">
        <v>606.16</v>
      </c>
      <c r="M409" s="10">
        <v>606.16</v>
      </c>
      <c r="N409" s="10">
        <f t="shared" si="85"/>
        <v>7273.9099999999989</v>
      </c>
    </row>
    <row r="410" spans="1:14" x14ac:dyDescent="0.2">
      <c r="A410" s="17" t="s">
        <v>276</v>
      </c>
      <c r="B410" s="10">
        <v>0</v>
      </c>
      <c r="C410" s="10">
        <v>0</v>
      </c>
      <c r="D410" s="10">
        <v>14.68</v>
      </c>
      <c r="E410" s="10">
        <v>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f t="shared" si="85"/>
        <v>14.68</v>
      </c>
    </row>
    <row r="411" spans="1:14" x14ac:dyDescent="0.2">
      <c r="A411" s="17" t="s">
        <v>277</v>
      </c>
      <c r="B411" s="10">
        <v>0</v>
      </c>
      <c r="C411" s="10">
        <v>0</v>
      </c>
      <c r="D411" s="10">
        <v>0</v>
      </c>
      <c r="E411" s="10">
        <v>315.41000000000003</v>
      </c>
      <c r="F411" s="10">
        <v>692.15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f t="shared" si="85"/>
        <v>1007.56</v>
      </c>
    </row>
    <row r="412" spans="1:14" x14ac:dyDescent="0.2">
      <c r="A412" s="17" t="s">
        <v>278</v>
      </c>
      <c r="B412" s="10">
        <v>0</v>
      </c>
      <c r="C412" s="10">
        <v>59.97</v>
      </c>
      <c r="D412" s="10">
        <v>0</v>
      </c>
      <c r="E412" s="10">
        <v>142.37</v>
      </c>
      <c r="F412" s="10">
        <v>0</v>
      </c>
      <c r="G412" s="10">
        <v>0</v>
      </c>
      <c r="H412" s="10">
        <v>0</v>
      </c>
      <c r="I412" s="10">
        <v>0</v>
      </c>
      <c r="J412" s="10">
        <v>52.98</v>
      </c>
      <c r="K412" s="10">
        <v>176.36</v>
      </c>
      <c r="L412" s="10">
        <v>214.46</v>
      </c>
      <c r="M412" s="10">
        <v>0</v>
      </c>
      <c r="N412" s="10">
        <f t="shared" si="85"/>
        <v>646.14</v>
      </c>
    </row>
    <row r="413" spans="1:14" x14ac:dyDescent="0.2">
      <c r="A413" s="17" t="s">
        <v>279</v>
      </c>
      <c r="B413" s="10">
        <v>0</v>
      </c>
      <c r="C413" s="10">
        <v>15</v>
      </c>
      <c r="D413" s="10">
        <v>0</v>
      </c>
      <c r="E413" s="10">
        <v>0</v>
      </c>
      <c r="F413" s="10">
        <v>0</v>
      </c>
      <c r="G413" s="10">
        <v>539.62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652.07000000000005</v>
      </c>
      <c r="N413" s="10">
        <f t="shared" si="85"/>
        <v>1206.69</v>
      </c>
    </row>
    <row r="414" spans="1:14" x14ac:dyDescent="0.2">
      <c r="A414" s="17" t="s">
        <v>280</v>
      </c>
      <c r="B414" s="10">
        <v>1577.04</v>
      </c>
      <c r="C414" s="10">
        <v>1286.5999999999999</v>
      </c>
      <c r="D414" s="10">
        <v>2249.9899999999998</v>
      </c>
      <c r="E414" s="10">
        <v>1031.83</v>
      </c>
      <c r="F414" s="10">
        <v>1339.48</v>
      </c>
      <c r="G414" s="10">
        <v>888.72</v>
      </c>
      <c r="H414" s="10">
        <v>969.11</v>
      </c>
      <c r="I414" s="10">
        <v>1426.8</v>
      </c>
      <c r="J414" s="10">
        <v>1427.06</v>
      </c>
      <c r="K414" s="10">
        <v>774.7</v>
      </c>
      <c r="L414" s="10">
        <v>1009.34</v>
      </c>
      <c r="M414" s="10">
        <v>821.46</v>
      </c>
      <c r="N414" s="10">
        <f t="shared" si="85"/>
        <v>14802.129999999997</v>
      </c>
    </row>
    <row r="415" spans="1:14" x14ac:dyDescent="0.2">
      <c r="A415" s="17" t="s">
        <v>281</v>
      </c>
      <c r="B415" s="10">
        <v>76.23</v>
      </c>
      <c r="C415" s="10">
        <v>67.2</v>
      </c>
      <c r="D415" s="10">
        <v>175.52</v>
      </c>
      <c r="E415" s="10">
        <v>128.56</v>
      </c>
      <c r="F415" s="10">
        <v>769.5</v>
      </c>
      <c r="G415" s="10">
        <v>69.81</v>
      </c>
      <c r="H415" s="10">
        <v>0</v>
      </c>
      <c r="I415" s="10">
        <v>136.11000000000001</v>
      </c>
      <c r="J415" s="10">
        <v>591.38</v>
      </c>
      <c r="K415" s="10">
        <v>69.819999999999993</v>
      </c>
      <c r="L415" s="10">
        <v>78.84</v>
      </c>
      <c r="M415" s="10">
        <v>69.819999999999993</v>
      </c>
      <c r="N415" s="10">
        <f t="shared" si="85"/>
        <v>2232.7900000000004</v>
      </c>
    </row>
    <row r="416" spans="1:14" x14ac:dyDescent="0.2">
      <c r="A416" s="17" t="s">
        <v>282</v>
      </c>
      <c r="B416" s="10">
        <v>0</v>
      </c>
      <c r="C416" s="10">
        <v>0</v>
      </c>
      <c r="D416" s="10">
        <v>0</v>
      </c>
      <c r="E416" s="10">
        <v>0</v>
      </c>
      <c r="F416" s="10">
        <v>0</v>
      </c>
      <c r="G416" s="10">
        <v>0</v>
      </c>
      <c r="H416" s="10">
        <v>0</v>
      </c>
      <c r="I416" s="10">
        <v>0</v>
      </c>
      <c r="J416" s="10">
        <v>29.26</v>
      </c>
      <c r="K416" s="10">
        <v>0</v>
      </c>
      <c r="L416" s="10">
        <v>0</v>
      </c>
      <c r="M416" s="10">
        <v>0</v>
      </c>
      <c r="N416" s="10">
        <f t="shared" si="85"/>
        <v>29.26</v>
      </c>
    </row>
    <row r="417" spans="1:14" x14ac:dyDescent="0.2">
      <c r="A417" s="17" t="s">
        <v>283</v>
      </c>
      <c r="B417" s="10">
        <v>0</v>
      </c>
      <c r="C417" s="10">
        <v>416.85</v>
      </c>
      <c r="D417" s="10">
        <v>1323.14</v>
      </c>
      <c r="E417" s="10">
        <v>0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f t="shared" si="85"/>
        <v>1739.9900000000002</v>
      </c>
    </row>
    <row r="418" spans="1:14" x14ac:dyDescent="0.2">
      <c r="A418" s="17" t="s">
        <v>284</v>
      </c>
      <c r="B418" s="10">
        <v>0</v>
      </c>
      <c r="C418" s="10">
        <v>0</v>
      </c>
      <c r="D418" s="10">
        <v>0</v>
      </c>
      <c r="E418" s="10">
        <v>0</v>
      </c>
      <c r="F418" s="10">
        <v>100</v>
      </c>
      <c r="G418" s="10">
        <v>0</v>
      </c>
      <c r="H418" s="10">
        <v>0</v>
      </c>
      <c r="I418" s="10">
        <v>0</v>
      </c>
      <c r="J418" s="10">
        <v>0</v>
      </c>
      <c r="K418" s="10">
        <v>0</v>
      </c>
      <c r="L418" s="10">
        <v>0</v>
      </c>
      <c r="M418" s="10">
        <v>0</v>
      </c>
      <c r="N418" s="10">
        <f t="shared" si="85"/>
        <v>100</v>
      </c>
    </row>
    <row r="419" spans="1:14" x14ac:dyDescent="0.2">
      <c r="A419" s="17" t="s">
        <v>285</v>
      </c>
      <c r="B419" s="10">
        <v>0</v>
      </c>
      <c r="C419" s="10">
        <v>0</v>
      </c>
      <c r="D419" s="10">
        <v>1650</v>
      </c>
      <c r="E419" s="10">
        <v>0</v>
      </c>
      <c r="F419" s="10">
        <v>0</v>
      </c>
      <c r="G419" s="10">
        <v>1650</v>
      </c>
      <c r="H419" s="10">
        <v>0</v>
      </c>
      <c r="I419" s="10">
        <v>0</v>
      </c>
      <c r="J419" s="10">
        <v>1650</v>
      </c>
      <c r="K419" s="10">
        <v>0</v>
      </c>
      <c r="L419" s="10">
        <v>0</v>
      </c>
      <c r="M419" s="10">
        <v>1650</v>
      </c>
      <c r="N419" s="10">
        <f t="shared" si="85"/>
        <v>6600</v>
      </c>
    </row>
    <row r="420" spans="1:14" ht="4.95" customHeight="1" x14ac:dyDescent="0.2">
      <c r="A420" s="11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spans="1:14" ht="4.95" customHeight="1" x14ac:dyDescent="0.2"/>
    <row r="422" spans="1:14" x14ac:dyDescent="0.2">
      <c r="A422" s="16" t="s">
        <v>137</v>
      </c>
      <c r="B422" s="9">
        <f t="shared" ref="B422:N422" si="86">SUM(B406:B419)</f>
        <v>3550.33</v>
      </c>
      <c r="C422" s="9">
        <f t="shared" si="86"/>
        <v>4493.5</v>
      </c>
      <c r="D422" s="9">
        <f t="shared" si="86"/>
        <v>7999.9800000000005</v>
      </c>
      <c r="E422" s="9">
        <f t="shared" si="86"/>
        <v>3971.8699999999994</v>
      </c>
      <c r="F422" s="9">
        <f t="shared" si="86"/>
        <v>5754.4699999999993</v>
      </c>
      <c r="G422" s="9">
        <f t="shared" si="86"/>
        <v>4828.5300000000007</v>
      </c>
      <c r="H422" s="9">
        <f t="shared" si="86"/>
        <v>2718.1600000000003</v>
      </c>
      <c r="I422" s="9">
        <f t="shared" si="86"/>
        <v>4594.67</v>
      </c>
      <c r="J422" s="9">
        <f t="shared" si="86"/>
        <v>7026.9900000000007</v>
      </c>
      <c r="K422" s="9">
        <f t="shared" si="86"/>
        <v>4314.37</v>
      </c>
      <c r="L422" s="9">
        <f t="shared" si="86"/>
        <v>3792.03</v>
      </c>
      <c r="M422" s="9">
        <f t="shared" si="86"/>
        <v>5582.3700000000008</v>
      </c>
      <c r="N422" s="9">
        <f t="shared" si="86"/>
        <v>58627.270000000004</v>
      </c>
    </row>
    <row r="423" spans="1:14" ht="4.95" customHeight="1" x14ac:dyDescent="0.2"/>
    <row r="424" spans="1:14" ht="4.95" customHeight="1" x14ac:dyDescent="0.2"/>
    <row r="425" spans="1:14" x14ac:dyDescent="0.2">
      <c r="A425" s="16" t="s">
        <v>286</v>
      </c>
      <c r="B425" s="9">
        <f t="shared" ref="B425:N425" si="87">B372+B403+B422</f>
        <v>65858.12</v>
      </c>
      <c r="C425" s="9">
        <f t="shared" si="87"/>
        <v>60587.19</v>
      </c>
      <c r="D425" s="9">
        <f t="shared" si="87"/>
        <v>75387.689999999988</v>
      </c>
      <c r="E425" s="9">
        <f t="shared" si="87"/>
        <v>61599.079999999994</v>
      </c>
      <c r="F425" s="9">
        <f t="shared" si="87"/>
        <v>67295.12000000001</v>
      </c>
      <c r="G425" s="9">
        <f t="shared" si="87"/>
        <v>56475.13</v>
      </c>
      <c r="H425" s="9">
        <f t="shared" si="87"/>
        <v>53932.3</v>
      </c>
      <c r="I425" s="9">
        <f t="shared" si="87"/>
        <v>62668.840000000004</v>
      </c>
      <c r="J425" s="9">
        <f t="shared" si="87"/>
        <v>59332.420000000006</v>
      </c>
      <c r="K425" s="9">
        <f t="shared" si="87"/>
        <v>63771.130000000005</v>
      </c>
      <c r="L425" s="9">
        <f t="shared" si="87"/>
        <v>57074.9</v>
      </c>
      <c r="M425" s="9">
        <f t="shared" si="87"/>
        <v>50919.87</v>
      </c>
      <c r="N425" s="9">
        <f t="shared" si="87"/>
        <v>734901.79000000015</v>
      </c>
    </row>
    <row r="426" spans="1:14" ht="4.95" customHeight="1" x14ac:dyDescent="0.2"/>
    <row r="427" spans="1:14" x14ac:dyDescent="0.2">
      <c r="A427" s="7" t="s">
        <v>287</v>
      </c>
      <c r="B427" s="9">
        <f t="shared" ref="B427:N427" si="88">B364-B425</f>
        <v>-44689.509999999995</v>
      </c>
      <c r="C427" s="9">
        <f t="shared" si="88"/>
        <v>-26124.33</v>
      </c>
      <c r="D427" s="9">
        <f t="shared" si="88"/>
        <v>-41398.919999999991</v>
      </c>
      <c r="E427" s="9">
        <f t="shared" si="88"/>
        <v>-28051.259999999995</v>
      </c>
      <c r="F427" s="9">
        <f t="shared" si="88"/>
        <v>-33574.880000000012</v>
      </c>
      <c r="G427" s="9">
        <f t="shared" si="88"/>
        <v>-32405.51</v>
      </c>
      <c r="H427" s="9">
        <f t="shared" si="88"/>
        <v>-25547.800000000003</v>
      </c>
      <c r="I427" s="9">
        <f t="shared" si="88"/>
        <v>-32510.350000000002</v>
      </c>
      <c r="J427" s="9">
        <f t="shared" si="88"/>
        <v>-32382.800000000003</v>
      </c>
      <c r="K427" s="9">
        <f t="shared" si="88"/>
        <v>-31804.020000000004</v>
      </c>
      <c r="L427" s="9">
        <f t="shared" si="88"/>
        <v>-23566.61</v>
      </c>
      <c r="M427" s="9">
        <f t="shared" si="88"/>
        <v>-27842.77</v>
      </c>
      <c r="N427" s="9">
        <f t="shared" si="88"/>
        <v>-379898.76000000013</v>
      </c>
    </row>
    <row r="428" spans="1:14" ht="4.95" customHeight="1" x14ac:dyDescent="0.2"/>
    <row r="429" spans="1:14" x14ac:dyDescent="0.2">
      <c r="A429" s="16" t="s">
        <v>165</v>
      </c>
    </row>
    <row r="430" spans="1:14" x14ac:dyDescent="0.2">
      <c r="A430" s="16" t="s">
        <v>288</v>
      </c>
    </row>
    <row r="431" spans="1:14" x14ac:dyDescent="0.2">
      <c r="A431" s="17" t="s">
        <v>289</v>
      </c>
      <c r="B431" s="18">
        <v>3</v>
      </c>
      <c r="C431" s="18">
        <v>752</v>
      </c>
      <c r="D431" s="18">
        <v>480</v>
      </c>
      <c r="E431" s="18">
        <v>184</v>
      </c>
      <c r="F431" s="18">
        <v>598</v>
      </c>
      <c r="G431" s="18">
        <v>156</v>
      </c>
      <c r="H431" s="18">
        <v>6</v>
      </c>
      <c r="I431" s="18">
        <v>1680</v>
      </c>
      <c r="J431" s="18">
        <v>1259</v>
      </c>
      <c r="K431" s="18">
        <v>1177</v>
      </c>
      <c r="L431" s="18">
        <v>604</v>
      </c>
      <c r="M431" s="18">
        <v>265</v>
      </c>
      <c r="N431" s="18">
        <f t="shared" ref="N431:N438" si="89">B431+C431+D431+E431+F431+G431+H431+I431+J431+K431+L431+M431</f>
        <v>7164</v>
      </c>
    </row>
    <row r="432" spans="1:14" x14ac:dyDescent="0.2">
      <c r="A432" s="17" t="s">
        <v>290</v>
      </c>
      <c r="B432" s="10">
        <v>30</v>
      </c>
      <c r="C432" s="10">
        <v>22.73</v>
      </c>
      <c r="D432" s="10">
        <v>20.71</v>
      </c>
      <c r="E432" s="10">
        <v>32.270000000000003</v>
      </c>
      <c r="F432" s="10">
        <v>30.56</v>
      </c>
      <c r="G432" s="10">
        <v>52.66</v>
      </c>
      <c r="H432" s="10">
        <v>27</v>
      </c>
      <c r="I432" s="10">
        <v>4.09</v>
      </c>
      <c r="J432" s="10">
        <v>26.6</v>
      </c>
      <c r="K432" s="10">
        <v>30.33</v>
      </c>
      <c r="L432" s="10">
        <v>32.15</v>
      </c>
      <c r="M432" s="10">
        <v>22.09</v>
      </c>
      <c r="N432" s="10">
        <f t="shared" si="89"/>
        <v>331.18999999999994</v>
      </c>
    </row>
    <row r="433" spans="1:14" x14ac:dyDescent="0.2">
      <c r="A433" s="17" t="s">
        <v>291</v>
      </c>
      <c r="B433" s="18">
        <v>427</v>
      </c>
      <c r="C433" s="18">
        <v>2114</v>
      </c>
      <c r="D433" s="18">
        <v>1400</v>
      </c>
      <c r="E433" s="18">
        <v>838</v>
      </c>
      <c r="F433" s="18">
        <v>668</v>
      </c>
      <c r="G433" s="18">
        <v>259</v>
      </c>
      <c r="H433" s="18">
        <v>258</v>
      </c>
      <c r="I433" s="18">
        <v>381</v>
      </c>
      <c r="J433" s="18">
        <v>1245</v>
      </c>
      <c r="K433" s="18">
        <v>2537</v>
      </c>
      <c r="L433" s="18">
        <v>2631</v>
      </c>
      <c r="M433" s="18">
        <v>682</v>
      </c>
      <c r="N433" s="18">
        <f t="shared" si="89"/>
        <v>13440</v>
      </c>
    </row>
    <row r="434" spans="1:14" x14ac:dyDescent="0.2">
      <c r="A434" s="17" t="s">
        <v>292</v>
      </c>
      <c r="B434" s="10">
        <v>14.48</v>
      </c>
      <c r="C434" s="10">
        <v>20.49</v>
      </c>
      <c r="D434" s="10">
        <v>21.43</v>
      </c>
      <c r="E434" s="10">
        <v>36.090000000000003</v>
      </c>
      <c r="F434" s="10">
        <v>14.68</v>
      </c>
      <c r="G434" s="10">
        <v>7.18</v>
      </c>
      <c r="H434" s="10">
        <v>13.41</v>
      </c>
      <c r="I434" s="10">
        <v>9.6</v>
      </c>
      <c r="J434" s="10">
        <v>13.95</v>
      </c>
      <c r="K434" s="10">
        <v>10.8</v>
      </c>
      <c r="L434" s="10">
        <v>21.07</v>
      </c>
      <c r="M434" s="10">
        <v>7.09</v>
      </c>
      <c r="N434" s="10">
        <f t="shared" si="89"/>
        <v>190.27</v>
      </c>
    </row>
    <row r="435" spans="1:14" x14ac:dyDescent="0.2">
      <c r="A435" s="17" t="s">
        <v>293</v>
      </c>
      <c r="B435" s="18">
        <v>861</v>
      </c>
      <c r="C435" s="18">
        <v>395</v>
      </c>
      <c r="D435" s="18">
        <v>520</v>
      </c>
      <c r="E435" s="18">
        <v>974</v>
      </c>
      <c r="F435" s="18">
        <v>318</v>
      </c>
      <c r="G435" s="18">
        <v>141</v>
      </c>
      <c r="H435" s="18">
        <v>23</v>
      </c>
      <c r="I435" s="18">
        <v>160</v>
      </c>
      <c r="J435" s="18">
        <v>305</v>
      </c>
      <c r="K435" s="18">
        <v>495</v>
      </c>
      <c r="L435" s="18">
        <v>560</v>
      </c>
      <c r="M435" s="18">
        <v>454</v>
      </c>
      <c r="N435" s="18">
        <f t="shared" si="89"/>
        <v>5206</v>
      </c>
    </row>
    <row r="436" spans="1:14" x14ac:dyDescent="0.2">
      <c r="A436" s="17" t="s">
        <v>294</v>
      </c>
      <c r="B436" s="10">
        <v>40.119999999999997</v>
      </c>
      <c r="C436" s="10">
        <v>48.02</v>
      </c>
      <c r="D436" s="10">
        <v>68.16</v>
      </c>
      <c r="E436" s="10">
        <v>54.01</v>
      </c>
      <c r="F436" s="10">
        <v>19.72</v>
      </c>
      <c r="G436" s="10">
        <v>48.9</v>
      </c>
      <c r="H436" s="10">
        <v>72.09</v>
      </c>
      <c r="I436" s="10">
        <v>68.569999999999993</v>
      </c>
      <c r="J436" s="10">
        <v>84.02</v>
      </c>
      <c r="K436" s="10">
        <v>73.55</v>
      </c>
      <c r="L436" s="10">
        <v>33.64</v>
      </c>
      <c r="M436" s="10">
        <v>47.65</v>
      </c>
      <c r="N436" s="10">
        <f t="shared" si="89"/>
        <v>658.44999999999993</v>
      </c>
    </row>
    <row r="437" spans="1:14" x14ac:dyDescent="0.2">
      <c r="A437" s="17" t="s">
        <v>295</v>
      </c>
      <c r="B437" s="18">
        <v>281</v>
      </c>
      <c r="C437" s="18">
        <v>1181</v>
      </c>
      <c r="D437" s="18">
        <v>803</v>
      </c>
      <c r="E437" s="18">
        <v>727</v>
      </c>
      <c r="F437" s="18">
        <v>483</v>
      </c>
      <c r="G437" s="18">
        <v>264</v>
      </c>
      <c r="H437" s="18">
        <v>96</v>
      </c>
      <c r="I437" s="18">
        <v>208</v>
      </c>
      <c r="J437" s="18">
        <v>500</v>
      </c>
      <c r="K437" s="18">
        <v>677</v>
      </c>
      <c r="L437" s="18">
        <v>969</v>
      </c>
      <c r="M437" s="18">
        <v>216</v>
      </c>
      <c r="N437" s="18">
        <f t="shared" si="89"/>
        <v>6405</v>
      </c>
    </row>
    <row r="438" spans="1:14" x14ac:dyDescent="0.2">
      <c r="A438" s="17" t="s">
        <v>296</v>
      </c>
      <c r="B438" s="10">
        <v>27.77</v>
      </c>
      <c r="C438" s="10">
        <v>35.69</v>
      </c>
      <c r="D438" s="10">
        <v>50.61</v>
      </c>
      <c r="E438" s="10">
        <v>33.04</v>
      </c>
      <c r="F438" s="10">
        <v>22.26</v>
      </c>
      <c r="G438" s="10">
        <v>32.76</v>
      </c>
      <c r="H438" s="10">
        <v>106.02</v>
      </c>
      <c r="I438" s="10">
        <v>53.82</v>
      </c>
      <c r="J438" s="10">
        <v>35.36</v>
      </c>
      <c r="K438" s="10">
        <v>41.92</v>
      </c>
      <c r="L438" s="10">
        <v>52.93</v>
      </c>
      <c r="M438" s="10">
        <v>52.59</v>
      </c>
      <c r="N438" s="10">
        <f t="shared" si="89"/>
        <v>544.77</v>
      </c>
    </row>
    <row r="439" spans="1:14" ht="4.95" customHeight="1" x14ac:dyDescent="0.2"/>
    <row r="440" spans="1:14" ht="4.95" customHeight="1" x14ac:dyDescent="0.2"/>
    <row r="441" spans="1:14" ht="4.95" customHeight="1" x14ac:dyDescent="0.2"/>
    <row r="442" spans="1:14" x14ac:dyDescent="0.2">
      <c r="A442" s="16" t="s">
        <v>231</v>
      </c>
    </row>
    <row r="443" spans="1:14" x14ac:dyDescent="0.2">
      <c r="A443" s="16" t="s">
        <v>232</v>
      </c>
    </row>
    <row r="444" spans="1:14" x14ac:dyDescent="0.2">
      <c r="A444" s="17" t="s">
        <v>297</v>
      </c>
      <c r="B444" s="18">
        <v>803</v>
      </c>
      <c r="C444" s="18">
        <v>1390</v>
      </c>
      <c r="D444" s="18">
        <v>1151</v>
      </c>
      <c r="E444" s="18">
        <v>1213</v>
      </c>
      <c r="F444" s="18">
        <v>1256</v>
      </c>
      <c r="G444" s="18">
        <v>871</v>
      </c>
      <c r="H444" s="18">
        <v>992</v>
      </c>
      <c r="I444" s="18">
        <v>1043</v>
      </c>
      <c r="J444" s="18">
        <v>1134</v>
      </c>
      <c r="K444" s="18">
        <v>1282</v>
      </c>
      <c r="L444" s="18">
        <v>1476</v>
      </c>
      <c r="M444" s="18">
        <v>983</v>
      </c>
      <c r="N444" s="18">
        <f t="shared" ref="N444:N449" si="90">B444+C444+D444+E444+F444+G444+H444+I444+J444+K444+L444+M444</f>
        <v>13594</v>
      </c>
    </row>
    <row r="445" spans="1:14" x14ac:dyDescent="0.2">
      <c r="A445" s="17" t="s">
        <v>298</v>
      </c>
      <c r="B445" s="10">
        <v>20.78</v>
      </c>
      <c r="C445" s="10">
        <v>20.38</v>
      </c>
      <c r="D445" s="10">
        <v>24.82</v>
      </c>
      <c r="E445" s="10">
        <v>22.81</v>
      </c>
      <c r="F445" s="10">
        <v>22.49</v>
      </c>
      <c r="G445" s="10">
        <v>23.33</v>
      </c>
      <c r="H445" s="10">
        <v>24.66</v>
      </c>
      <c r="I445" s="10">
        <v>24.5</v>
      </c>
      <c r="J445" s="10">
        <v>20.09</v>
      </c>
      <c r="K445" s="10">
        <v>17.920000000000002</v>
      </c>
      <c r="L445" s="10">
        <v>19.350000000000001</v>
      </c>
      <c r="M445" s="10">
        <v>19.09</v>
      </c>
      <c r="N445" s="10">
        <f t="shared" si="90"/>
        <v>260.21999999999997</v>
      </c>
    </row>
    <row r="446" spans="1:14" x14ac:dyDescent="0.2">
      <c r="A446" s="17" t="s">
        <v>299</v>
      </c>
      <c r="B446" s="18">
        <v>0</v>
      </c>
      <c r="C446" s="18">
        <v>0</v>
      </c>
      <c r="D446" s="18">
        <v>5</v>
      </c>
      <c r="E446" s="18">
        <v>0</v>
      </c>
      <c r="F446" s="18">
        <v>0</v>
      </c>
      <c r="G446" s="18">
        <v>0</v>
      </c>
      <c r="H446" s="18">
        <v>1</v>
      </c>
      <c r="I446" s="18">
        <v>0</v>
      </c>
      <c r="J446" s="18">
        <v>0</v>
      </c>
      <c r="K446" s="18">
        <v>3</v>
      </c>
      <c r="L446" s="18">
        <v>0</v>
      </c>
      <c r="M446" s="18">
        <v>0</v>
      </c>
      <c r="N446" s="18">
        <f t="shared" si="90"/>
        <v>9</v>
      </c>
    </row>
    <row r="447" spans="1:14" x14ac:dyDescent="0.2">
      <c r="A447" s="17" t="s">
        <v>300</v>
      </c>
      <c r="B447" s="10">
        <v>0</v>
      </c>
      <c r="C447" s="10">
        <v>0</v>
      </c>
      <c r="D447" s="10">
        <v>38.299999999999997</v>
      </c>
      <c r="E447" s="10">
        <v>0</v>
      </c>
      <c r="F447" s="10">
        <v>0</v>
      </c>
      <c r="G447" s="10">
        <v>0</v>
      </c>
      <c r="H447" s="10">
        <v>38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f t="shared" si="90"/>
        <v>76.3</v>
      </c>
    </row>
    <row r="448" spans="1:14" x14ac:dyDescent="0.2">
      <c r="A448" s="17" t="s">
        <v>301</v>
      </c>
      <c r="B448" s="18">
        <v>109</v>
      </c>
      <c r="C448" s="18">
        <v>179</v>
      </c>
      <c r="D448" s="18">
        <v>166</v>
      </c>
      <c r="E448" s="18">
        <v>149</v>
      </c>
      <c r="F448" s="18">
        <v>120</v>
      </c>
      <c r="G448" s="18">
        <v>111</v>
      </c>
      <c r="H448" s="18">
        <v>94</v>
      </c>
      <c r="I448" s="18">
        <v>108</v>
      </c>
      <c r="J448" s="18">
        <v>152</v>
      </c>
      <c r="K448" s="18">
        <v>376</v>
      </c>
      <c r="L448" s="18">
        <v>163</v>
      </c>
      <c r="M448" s="18">
        <v>124</v>
      </c>
      <c r="N448" s="18">
        <f t="shared" si="90"/>
        <v>1851</v>
      </c>
    </row>
    <row r="449" spans="1:14" x14ac:dyDescent="0.2">
      <c r="A449" s="17" t="s">
        <v>302</v>
      </c>
      <c r="B449" s="10">
        <v>40.74</v>
      </c>
      <c r="C449" s="10">
        <v>34.119999999999997</v>
      </c>
      <c r="D449" s="10">
        <v>30.96</v>
      </c>
      <c r="E449" s="10">
        <v>39.33</v>
      </c>
      <c r="F449" s="10">
        <v>45.53</v>
      </c>
      <c r="G449" s="10">
        <v>32.380000000000003</v>
      </c>
      <c r="H449" s="10">
        <v>40.58</v>
      </c>
      <c r="I449" s="10">
        <v>42.49</v>
      </c>
      <c r="J449" s="10">
        <v>27.02</v>
      </c>
      <c r="K449" s="10">
        <v>25.17</v>
      </c>
      <c r="L449" s="10">
        <v>30.52</v>
      </c>
      <c r="M449" s="10">
        <v>35.15</v>
      </c>
      <c r="N449" s="10">
        <f t="shared" si="90"/>
        <v>423.98999999999995</v>
      </c>
    </row>
    <row r="450" spans="1:14" ht="4.95" customHeight="1" x14ac:dyDescent="0.2"/>
    <row r="451" spans="1:14" ht="4.95" customHeight="1" x14ac:dyDescent="0.2"/>
    <row r="452" spans="1:14" ht="4.95" customHeight="1" x14ac:dyDescent="0.2"/>
    <row r="453" spans="1:14" x14ac:dyDescent="0.2">
      <c r="A453" s="16" t="s">
        <v>303</v>
      </c>
    </row>
    <row r="455" spans="1:14" x14ac:dyDescent="0.2">
      <c r="A455" s="16" t="s">
        <v>304</v>
      </c>
    </row>
    <row r="456" spans="1:14" x14ac:dyDescent="0.2">
      <c r="A456" s="16" t="s">
        <v>75</v>
      </c>
    </row>
    <row r="457" spans="1:14" x14ac:dyDescent="0.2">
      <c r="A457" s="17" t="s">
        <v>305</v>
      </c>
      <c r="B457" s="10">
        <v>32817.800000000003</v>
      </c>
      <c r="C457" s="10">
        <v>44216.33</v>
      </c>
      <c r="D457" s="10">
        <v>52279.82</v>
      </c>
      <c r="E457" s="10">
        <v>42594.9</v>
      </c>
      <c r="F457" s="10">
        <v>49598.400000000001</v>
      </c>
      <c r="G457" s="10">
        <v>44614.02</v>
      </c>
      <c r="H457" s="10">
        <v>44100.02</v>
      </c>
      <c r="I457" s="10">
        <v>46911.78</v>
      </c>
      <c r="J457" s="10">
        <v>42816.54</v>
      </c>
      <c r="K457" s="10">
        <v>45204.98</v>
      </c>
      <c r="L457" s="10">
        <v>42502.04</v>
      </c>
      <c r="M457" s="10">
        <v>36465.24</v>
      </c>
      <c r="N457" s="10">
        <f>B457+C457+D457+E457+F457+G457+H457+I457+J457+K457+L457+M457</f>
        <v>524121.87</v>
      </c>
    </row>
    <row r="458" spans="1:14" x14ac:dyDescent="0.2">
      <c r="A458" s="17" t="s">
        <v>306</v>
      </c>
      <c r="B458" s="10">
        <v>-467.82</v>
      </c>
      <c r="C458" s="10">
        <v>-180.29</v>
      </c>
      <c r="D458" s="10">
        <v>-145.22999999999999</v>
      </c>
      <c r="E458" s="10">
        <v>-198.17</v>
      </c>
      <c r="F458" s="10">
        <v>-244.55</v>
      </c>
      <c r="G458" s="10">
        <v>-258.29000000000002</v>
      </c>
      <c r="H458" s="10">
        <v>-221.36</v>
      </c>
      <c r="I458" s="10">
        <v>-191.02</v>
      </c>
      <c r="J458" s="10">
        <v>-234.65</v>
      </c>
      <c r="K458" s="10">
        <v>-234.72</v>
      </c>
      <c r="L458" s="10">
        <v>-247.14</v>
      </c>
      <c r="M458" s="10">
        <v>-540.07000000000005</v>
      </c>
      <c r="N458" s="10">
        <f>B458+C458+D458+E458+F458+G458+H458+I458+J458+K458+L458+M458</f>
        <v>-3163.31</v>
      </c>
    </row>
    <row r="459" spans="1:14" ht="4.95" customHeight="1" x14ac:dyDescent="0.2">
      <c r="A459" s="11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1:14" ht="4.95" customHeight="1" x14ac:dyDescent="0.2"/>
    <row r="461" spans="1:14" x14ac:dyDescent="0.2">
      <c r="A461" s="16" t="s">
        <v>80</v>
      </c>
      <c r="B461" s="9">
        <f t="shared" ref="B461:N461" si="91">SUM(B457:B458)</f>
        <v>32349.980000000003</v>
      </c>
      <c r="C461" s="9">
        <f t="shared" si="91"/>
        <v>44036.04</v>
      </c>
      <c r="D461" s="9">
        <f t="shared" si="91"/>
        <v>52134.59</v>
      </c>
      <c r="E461" s="9">
        <f t="shared" si="91"/>
        <v>42396.73</v>
      </c>
      <c r="F461" s="9">
        <f t="shared" si="91"/>
        <v>49353.85</v>
      </c>
      <c r="G461" s="9">
        <f t="shared" si="91"/>
        <v>44355.729999999996</v>
      </c>
      <c r="H461" s="9">
        <f t="shared" si="91"/>
        <v>43878.659999999996</v>
      </c>
      <c r="I461" s="9">
        <f t="shared" si="91"/>
        <v>46720.76</v>
      </c>
      <c r="J461" s="9">
        <f t="shared" si="91"/>
        <v>42581.89</v>
      </c>
      <c r="K461" s="9">
        <f t="shared" si="91"/>
        <v>44970.26</v>
      </c>
      <c r="L461" s="9">
        <f t="shared" si="91"/>
        <v>42254.9</v>
      </c>
      <c r="M461" s="9">
        <f t="shared" si="91"/>
        <v>35925.17</v>
      </c>
      <c r="N461" s="9">
        <f t="shared" si="91"/>
        <v>520958.56</v>
      </c>
    </row>
    <row r="462" spans="1:14" ht="4.95" customHeight="1" x14ac:dyDescent="0.2"/>
    <row r="463" spans="1:14" ht="4.95" customHeight="1" x14ac:dyDescent="0.2">
      <c r="A463" s="11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1:14" ht="4.95" customHeight="1" x14ac:dyDescent="0.2"/>
    <row r="465" spans="1:14" x14ac:dyDescent="0.2">
      <c r="A465" s="16" t="s">
        <v>307</v>
      </c>
      <c r="B465" s="9">
        <f t="shared" ref="B465:N465" si="92">B461</f>
        <v>32349.980000000003</v>
      </c>
      <c r="C465" s="9">
        <f t="shared" si="92"/>
        <v>44036.04</v>
      </c>
      <c r="D465" s="9">
        <f t="shared" si="92"/>
        <v>52134.59</v>
      </c>
      <c r="E465" s="9">
        <f t="shared" si="92"/>
        <v>42396.73</v>
      </c>
      <c r="F465" s="9">
        <f t="shared" si="92"/>
        <v>49353.85</v>
      </c>
      <c r="G465" s="9">
        <f t="shared" si="92"/>
        <v>44355.729999999996</v>
      </c>
      <c r="H465" s="9">
        <f t="shared" si="92"/>
        <v>43878.659999999996</v>
      </c>
      <c r="I465" s="9">
        <f t="shared" si="92"/>
        <v>46720.76</v>
      </c>
      <c r="J465" s="9">
        <f t="shared" si="92"/>
        <v>42581.89</v>
      </c>
      <c r="K465" s="9">
        <f t="shared" si="92"/>
        <v>44970.26</v>
      </c>
      <c r="L465" s="9">
        <f t="shared" si="92"/>
        <v>42254.9</v>
      </c>
      <c r="M465" s="9">
        <f t="shared" si="92"/>
        <v>35925.17</v>
      </c>
      <c r="N465" s="9">
        <f t="shared" si="92"/>
        <v>520958.56</v>
      </c>
    </row>
    <row r="467" spans="1:14" x14ac:dyDescent="0.2">
      <c r="A467" s="16" t="s">
        <v>308</v>
      </c>
    </row>
    <row r="468" spans="1:14" x14ac:dyDescent="0.2">
      <c r="A468" s="17" t="s">
        <v>309</v>
      </c>
      <c r="B468" s="10">
        <v>12472.26</v>
      </c>
      <c r="C468" s="10">
        <v>13688.73</v>
      </c>
      <c r="D468" s="10">
        <v>17153.650000000001</v>
      </c>
      <c r="E468" s="10">
        <v>14727.99</v>
      </c>
      <c r="F468" s="10">
        <v>16223.99</v>
      </c>
      <c r="G468" s="10">
        <v>14731.84</v>
      </c>
      <c r="H468" s="10">
        <v>17327.169999999998</v>
      </c>
      <c r="I468" s="10">
        <v>14232.19</v>
      </c>
      <c r="J468" s="10">
        <v>15831.9</v>
      </c>
      <c r="K468" s="10">
        <v>13059.75</v>
      </c>
      <c r="L468" s="10">
        <v>14248.48</v>
      </c>
      <c r="M468" s="10">
        <v>12580.67</v>
      </c>
      <c r="N468" s="10">
        <f>B468+C468+D468+E468+F468+G468+H468+I468+J468+K468+L468+M468</f>
        <v>176278.62000000002</v>
      </c>
    </row>
    <row r="469" spans="1:14" ht="4.95" customHeight="1" x14ac:dyDescent="0.2"/>
    <row r="470" spans="1:14" ht="4.95" customHeight="1" x14ac:dyDescent="0.2">
      <c r="A470" s="11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1:14" ht="4.95" customHeight="1" x14ac:dyDescent="0.2"/>
    <row r="472" spans="1:14" x14ac:dyDescent="0.2">
      <c r="A472" s="16" t="s">
        <v>310</v>
      </c>
      <c r="B472" s="9">
        <f t="shared" ref="B472:N472" si="93">B468</f>
        <v>12472.26</v>
      </c>
      <c r="C472" s="9">
        <f t="shared" si="93"/>
        <v>13688.73</v>
      </c>
      <c r="D472" s="9">
        <f t="shared" si="93"/>
        <v>17153.650000000001</v>
      </c>
      <c r="E472" s="9">
        <f t="shared" si="93"/>
        <v>14727.99</v>
      </c>
      <c r="F472" s="9">
        <f t="shared" si="93"/>
        <v>16223.99</v>
      </c>
      <c r="G472" s="9">
        <f t="shared" si="93"/>
        <v>14731.84</v>
      </c>
      <c r="H472" s="9">
        <f t="shared" si="93"/>
        <v>17327.169999999998</v>
      </c>
      <c r="I472" s="9">
        <f t="shared" si="93"/>
        <v>14232.19</v>
      </c>
      <c r="J472" s="9">
        <f t="shared" si="93"/>
        <v>15831.9</v>
      </c>
      <c r="K472" s="9">
        <f t="shared" si="93"/>
        <v>13059.75</v>
      </c>
      <c r="L472" s="9">
        <f t="shared" si="93"/>
        <v>14248.48</v>
      </c>
      <c r="M472" s="9">
        <f t="shared" si="93"/>
        <v>12580.67</v>
      </c>
      <c r="N472" s="9">
        <f t="shared" si="93"/>
        <v>176278.62000000002</v>
      </c>
    </row>
    <row r="473" spans="1:14" ht="4.95" customHeight="1" x14ac:dyDescent="0.2"/>
    <row r="474" spans="1:14" x14ac:dyDescent="0.2">
      <c r="A474" s="16" t="s">
        <v>192</v>
      </c>
      <c r="B474" s="9">
        <f t="shared" ref="B474:N474" si="94">(B465)-(B472)</f>
        <v>19877.72</v>
      </c>
      <c r="C474" s="9">
        <f t="shared" si="94"/>
        <v>30347.31</v>
      </c>
      <c r="D474" s="9">
        <f t="shared" si="94"/>
        <v>34980.939999999995</v>
      </c>
      <c r="E474" s="9">
        <f t="shared" si="94"/>
        <v>27668.740000000005</v>
      </c>
      <c r="F474" s="9">
        <f t="shared" si="94"/>
        <v>33129.86</v>
      </c>
      <c r="G474" s="9">
        <f t="shared" si="94"/>
        <v>29623.889999999996</v>
      </c>
      <c r="H474" s="9">
        <f t="shared" si="94"/>
        <v>26551.489999999998</v>
      </c>
      <c r="I474" s="9">
        <f t="shared" si="94"/>
        <v>32488.57</v>
      </c>
      <c r="J474" s="9">
        <f t="shared" si="94"/>
        <v>26749.989999999998</v>
      </c>
      <c r="K474" s="9">
        <f t="shared" si="94"/>
        <v>31910.510000000002</v>
      </c>
      <c r="L474" s="9">
        <f t="shared" si="94"/>
        <v>28006.420000000002</v>
      </c>
      <c r="M474" s="9">
        <f t="shared" si="94"/>
        <v>23344.5</v>
      </c>
      <c r="N474" s="9">
        <f t="shared" si="94"/>
        <v>344679.93999999994</v>
      </c>
    </row>
    <row r="476" spans="1:14" x14ac:dyDescent="0.2">
      <c r="A476" s="16" t="s">
        <v>311</v>
      </c>
    </row>
    <row r="478" spans="1:14" x14ac:dyDescent="0.2">
      <c r="A478" s="16" t="s">
        <v>312</v>
      </c>
    </row>
    <row r="479" spans="1:14" x14ac:dyDescent="0.2">
      <c r="A479" s="16" t="s">
        <v>313</v>
      </c>
    </row>
    <row r="480" spans="1:14" x14ac:dyDescent="0.2">
      <c r="A480" s="17" t="s">
        <v>314</v>
      </c>
      <c r="B480" s="10">
        <v>8405.77</v>
      </c>
      <c r="C480" s="10">
        <v>9607.64</v>
      </c>
      <c r="D480" s="10">
        <v>10345.540000000001</v>
      </c>
      <c r="E480" s="10">
        <v>9977.2999999999993</v>
      </c>
      <c r="F480" s="10">
        <v>10769.9</v>
      </c>
      <c r="G480" s="10">
        <v>9165.49</v>
      </c>
      <c r="H480" s="10">
        <v>7969.38</v>
      </c>
      <c r="I480" s="10">
        <v>8764.7999999999993</v>
      </c>
      <c r="J480" s="10">
        <v>8213.7000000000007</v>
      </c>
      <c r="K480" s="10">
        <v>9076.39</v>
      </c>
      <c r="L480" s="10">
        <v>8417.86</v>
      </c>
      <c r="M480" s="10">
        <v>7760.36</v>
      </c>
      <c r="N480" s="10">
        <f>B480+C480+D480+E480+F480+G480+H480+I480+J480+K480+L480+M480</f>
        <v>108474.13</v>
      </c>
    </row>
    <row r="481" spans="1:14" x14ac:dyDescent="0.2">
      <c r="A481" s="16" t="s">
        <v>315</v>
      </c>
      <c r="B481" s="9">
        <f t="shared" ref="B481:N482" si="95">B480</f>
        <v>8405.77</v>
      </c>
      <c r="C481" s="9">
        <f t="shared" si="95"/>
        <v>9607.64</v>
      </c>
      <c r="D481" s="9">
        <f t="shared" si="95"/>
        <v>10345.540000000001</v>
      </c>
      <c r="E481" s="9">
        <f t="shared" si="95"/>
        <v>9977.2999999999993</v>
      </c>
      <c r="F481" s="9">
        <f t="shared" si="95"/>
        <v>10769.9</v>
      </c>
      <c r="G481" s="9">
        <f t="shared" si="95"/>
        <v>9165.49</v>
      </c>
      <c r="H481" s="9">
        <f t="shared" si="95"/>
        <v>7969.38</v>
      </c>
      <c r="I481" s="9">
        <f t="shared" si="95"/>
        <v>8764.7999999999993</v>
      </c>
      <c r="J481" s="9">
        <f t="shared" si="95"/>
        <v>8213.7000000000007</v>
      </c>
      <c r="K481" s="9">
        <f t="shared" si="95"/>
        <v>9076.39</v>
      </c>
      <c r="L481" s="9">
        <f t="shared" si="95"/>
        <v>8417.86</v>
      </c>
      <c r="M481" s="9">
        <f t="shared" si="95"/>
        <v>7760.36</v>
      </c>
      <c r="N481" s="9">
        <f t="shared" si="95"/>
        <v>108474.13</v>
      </c>
    </row>
    <row r="482" spans="1:14" x14ac:dyDescent="0.2">
      <c r="A482" s="16" t="s">
        <v>316</v>
      </c>
      <c r="B482" s="9">
        <f t="shared" si="95"/>
        <v>8405.77</v>
      </c>
      <c r="C482" s="9">
        <f t="shared" si="95"/>
        <v>9607.64</v>
      </c>
      <c r="D482" s="9">
        <f t="shared" si="95"/>
        <v>10345.540000000001</v>
      </c>
      <c r="E482" s="9">
        <f t="shared" si="95"/>
        <v>9977.2999999999993</v>
      </c>
      <c r="F482" s="9">
        <f t="shared" si="95"/>
        <v>10769.9</v>
      </c>
      <c r="G482" s="9">
        <f t="shared" si="95"/>
        <v>9165.49</v>
      </c>
      <c r="H482" s="9">
        <f t="shared" si="95"/>
        <v>7969.38</v>
      </c>
      <c r="I482" s="9">
        <f t="shared" si="95"/>
        <v>8764.7999999999993</v>
      </c>
      <c r="J482" s="9">
        <f t="shared" si="95"/>
        <v>8213.7000000000007</v>
      </c>
      <c r="K482" s="9">
        <f t="shared" si="95"/>
        <v>9076.39</v>
      </c>
      <c r="L482" s="9">
        <f t="shared" si="95"/>
        <v>8417.86</v>
      </c>
      <c r="M482" s="9">
        <f t="shared" si="95"/>
        <v>7760.36</v>
      </c>
      <c r="N482" s="9">
        <f t="shared" si="95"/>
        <v>108474.13</v>
      </c>
    </row>
    <row r="484" spans="1:14" x14ac:dyDescent="0.2">
      <c r="A484" s="16" t="s">
        <v>317</v>
      </c>
    </row>
    <row r="485" spans="1:14" x14ac:dyDescent="0.2">
      <c r="A485" s="17" t="s">
        <v>318</v>
      </c>
      <c r="B485" s="10">
        <v>925.97</v>
      </c>
      <c r="C485" s="10">
        <v>1003.56</v>
      </c>
      <c r="D485" s="10">
        <v>1464.11</v>
      </c>
      <c r="E485" s="10">
        <v>1031.23</v>
      </c>
      <c r="F485" s="10">
        <v>959.85</v>
      </c>
      <c r="G485" s="10">
        <v>889.54</v>
      </c>
      <c r="H485" s="10">
        <v>690.47</v>
      </c>
      <c r="I485" s="10">
        <v>1071.5899999999999</v>
      </c>
      <c r="J485" s="10">
        <v>748.77</v>
      </c>
      <c r="K485" s="10">
        <v>749.95</v>
      </c>
      <c r="L485" s="10">
        <v>744.16</v>
      </c>
      <c r="M485" s="10">
        <v>699.55</v>
      </c>
      <c r="N485" s="10">
        <f t="shared" ref="N485:N490" si="96">B485+C485+D485+E485+F485+G485+H485+I485+J485+K485+L485+M485</f>
        <v>10978.75</v>
      </c>
    </row>
    <row r="486" spans="1:14" x14ac:dyDescent="0.2">
      <c r="A486" s="17" t="s">
        <v>319</v>
      </c>
      <c r="B486" s="10">
        <v>47.2</v>
      </c>
      <c r="C486" s="10">
        <v>50.33</v>
      </c>
      <c r="D486" s="10">
        <v>49.31</v>
      </c>
      <c r="E486" s="10">
        <v>48.83</v>
      </c>
      <c r="F486" s="10">
        <v>50.15</v>
      </c>
      <c r="G486" s="10">
        <v>51.96</v>
      </c>
      <c r="H486" s="10">
        <v>40.159999999999997</v>
      </c>
      <c r="I486" s="10">
        <v>182.55</v>
      </c>
      <c r="J486" s="10">
        <v>176.19</v>
      </c>
      <c r="K486" s="10">
        <v>171.67</v>
      </c>
      <c r="L486" s="10">
        <v>170.06</v>
      </c>
      <c r="M486" s="10">
        <v>183.69</v>
      </c>
      <c r="N486" s="10">
        <f t="shared" si="96"/>
        <v>1222.1000000000001</v>
      </c>
    </row>
    <row r="487" spans="1:14" x14ac:dyDescent="0.2">
      <c r="A487" s="17" t="s">
        <v>320</v>
      </c>
      <c r="B487" s="10">
        <v>157.09</v>
      </c>
      <c r="C487" s="10">
        <v>178.21</v>
      </c>
      <c r="D487" s="10">
        <v>113.37</v>
      </c>
      <c r="E487" s="10">
        <v>197.75</v>
      </c>
      <c r="F487" s="10">
        <v>146.05000000000001</v>
      </c>
      <c r="G487" s="10">
        <v>172.51</v>
      </c>
      <c r="H487" s="10">
        <v>154.4</v>
      </c>
      <c r="I487" s="10">
        <v>113.48</v>
      </c>
      <c r="J487" s="10">
        <v>141.38</v>
      </c>
      <c r="K487" s="10">
        <v>147.33000000000001</v>
      </c>
      <c r="L487" s="10">
        <v>137.5</v>
      </c>
      <c r="M487" s="10">
        <v>176.62</v>
      </c>
      <c r="N487" s="10">
        <f t="shared" si="96"/>
        <v>1835.69</v>
      </c>
    </row>
    <row r="488" spans="1:14" x14ac:dyDescent="0.2">
      <c r="A488" s="17" t="s">
        <v>321</v>
      </c>
      <c r="B488" s="10">
        <v>98.5</v>
      </c>
      <c r="C488" s="10">
        <v>221.52</v>
      </c>
      <c r="D488" s="10">
        <v>101.23</v>
      </c>
      <c r="E488" s="10">
        <v>112.48</v>
      </c>
      <c r="F488" s="10">
        <v>0</v>
      </c>
      <c r="G488" s="10">
        <v>0</v>
      </c>
      <c r="H488" s="10">
        <v>0</v>
      </c>
      <c r="I488" s="10">
        <v>338.24</v>
      </c>
      <c r="J488" s="10">
        <v>256</v>
      </c>
      <c r="K488" s="10">
        <v>112.48</v>
      </c>
      <c r="L488" s="10">
        <v>56.24</v>
      </c>
      <c r="M488" s="10">
        <v>0</v>
      </c>
      <c r="N488" s="10">
        <f t="shared" si="96"/>
        <v>1296.69</v>
      </c>
    </row>
    <row r="489" spans="1:14" x14ac:dyDescent="0.2">
      <c r="A489" s="17" t="s">
        <v>322</v>
      </c>
      <c r="B489" s="10">
        <v>98.5</v>
      </c>
      <c r="C489" s="10">
        <v>0</v>
      </c>
      <c r="D489" s="10">
        <v>101.23</v>
      </c>
      <c r="E489" s="10">
        <v>0</v>
      </c>
      <c r="F489" s="10">
        <v>112.48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256</v>
      </c>
      <c r="M489" s="10">
        <v>0</v>
      </c>
      <c r="N489" s="10">
        <f t="shared" si="96"/>
        <v>568.21</v>
      </c>
    </row>
    <row r="490" spans="1:14" x14ac:dyDescent="0.2">
      <c r="A490" s="17" t="s">
        <v>323</v>
      </c>
      <c r="B490" s="10">
        <v>375.97</v>
      </c>
      <c r="C490" s="10">
        <v>0</v>
      </c>
      <c r="D490" s="10">
        <v>164.5</v>
      </c>
      <c r="E490" s="10">
        <v>0</v>
      </c>
      <c r="F490" s="10">
        <v>0</v>
      </c>
      <c r="G490" s="10">
        <v>258.67</v>
      </c>
      <c r="H490" s="10">
        <v>87.88</v>
      </c>
      <c r="I490" s="10">
        <v>0</v>
      </c>
      <c r="J490" s="10">
        <v>177.05</v>
      </c>
      <c r="K490" s="10">
        <v>0</v>
      </c>
      <c r="L490" s="10">
        <v>0</v>
      </c>
      <c r="M490" s="10">
        <v>182.71</v>
      </c>
      <c r="N490" s="10">
        <f t="shared" si="96"/>
        <v>1246.7800000000002</v>
      </c>
    </row>
    <row r="491" spans="1:14" x14ac:dyDescent="0.2">
      <c r="A491" s="16" t="s">
        <v>324</v>
      </c>
      <c r="B491" s="9">
        <f t="shared" ref="B491:N491" si="97">SUM(B485:B490)</f>
        <v>1703.23</v>
      </c>
      <c r="C491" s="9">
        <f t="shared" si="97"/>
        <v>1453.62</v>
      </c>
      <c r="D491" s="9">
        <f t="shared" si="97"/>
        <v>1993.75</v>
      </c>
      <c r="E491" s="9">
        <f t="shared" si="97"/>
        <v>1390.29</v>
      </c>
      <c r="F491" s="9">
        <f t="shared" si="97"/>
        <v>1268.53</v>
      </c>
      <c r="G491" s="9">
        <f t="shared" si="97"/>
        <v>1372.68</v>
      </c>
      <c r="H491" s="9">
        <f t="shared" si="97"/>
        <v>972.91</v>
      </c>
      <c r="I491" s="9">
        <f t="shared" si="97"/>
        <v>1705.86</v>
      </c>
      <c r="J491" s="9">
        <f t="shared" si="97"/>
        <v>1499.39</v>
      </c>
      <c r="K491" s="9">
        <f t="shared" si="97"/>
        <v>1181.43</v>
      </c>
      <c r="L491" s="9">
        <f t="shared" si="97"/>
        <v>1363.96</v>
      </c>
      <c r="M491" s="9">
        <f t="shared" si="97"/>
        <v>1242.5700000000002</v>
      </c>
      <c r="N491" s="9">
        <f t="shared" si="97"/>
        <v>17148.22</v>
      </c>
    </row>
    <row r="492" spans="1:14" ht="4.95" customHeight="1" x14ac:dyDescent="0.2">
      <c r="A492" s="11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1:14" ht="4.95" customHeight="1" x14ac:dyDescent="0.2"/>
    <row r="494" spans="1:14" x14ac:dyDescent="0.2">
      <c r="A494" s="16" t="s">
        <v>325</v>
      </c>
      <c r="B494" s="9">
        <f t="shared" ref="B494:N494" si="98">B482+B491</f>
        <v>10109</v>
      </c>
      <c r="C494" s="9">
        <f t="shared" si="98"/>
        <v>11061.259999999998</v>
      </c>
      <c r="D494" s="9">
        <f t="shared" si="98"/>
        <v>12339.29</v>
      </c>
      <c r="E494" s="9">
        <f t="shared" si="98"/>
        <v>11367.59</v>
      </c>
      <c r="F494" s="9">
        <f t="shared" si="98"/>
        <v>12038.43</v>
      </c>
      <c r="G494" s="9">
        <f t="shared" si="98"/>
        <v>10538.17</v>
      </c>
      <c r="H494" s="9">
        <f t="shared" si="98"/>
        <v>8942.2900000000009</v>
      </c>
      <c r="I494" s="9">
        <f t="shared" si="98"/>
        <v>10470.66</v>
      </c>
      <c r="J494" s="9">
        <f t="shared" si="98"/>
        <v>9713.09</v>
      </c>
      <c r="K494" s="9">
        <f t="shared" si="98"/>
        <v>10257.82</v>
      </c>
      <c r="L494" s="9">
        <f t="shared" si="98"/>
        <v>9781.82</v>
      </c>
      <c r="M494" s="9">
        <f t="shared" si="98"/>
        <v>9002.93</v>
      </c>
      <c r="N494" s="9">
        <f t="shared" si="98"/>
        <v>125622.35</v>
      </c>
    </row>
    <row r="495" spans="1:14" ht="4.95" customHeight="1" x14ac:dyDescent="0.2"/>
    <row r="496" spans="1:14" x14ac:dyDescent="0.2">
      <c r="A496" s="16" t="s">
        <v>112</v>
      </c>
    </row>
    <row r="497" spans="1:14" x14ac:dyDescent="0.2">
      <c r="A497" s="17" t="s">
        <v>326</v>
      </c>
      <c r="B497" s="10">
        <v>0</v>
      </c>
      <c r="C497" s="10">
        <v>0</v>
      </c>
      <c r="D497" s="10">
        <v>0</v>
      </c>
      <c r="E497" s="10">
        <v>1114.18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  <c r="N497" s="10">
        <f t="shared" ref="N497:N506" si="99">B497+C497+D497+E497+F497+G497+H497+I497+J497+K497+L497+M497</f>
        <v>1114.18</v>
      </c>
    </row>
    <row r="498" spans="1:14" x14ac:dyDescent="0.2">
      <c r="A498" s="17" t="s">
        <v>327</v>
      </c>
      <c r="B498" s="10">
        <v>125.41</v>
      </c>
      <c r="C498" s="10">
        <v>71.709999999999994</v>
      </c>
      <c r="D498" s="10">
        <v>8.9700000000000006</v>
      </c>
      <c r="E498" s="10">
        <v>0</v>
      </c>
      <c r="F498" s="10">
        <v>60.18</v>
      </c>
      <c r="G498" s="10">
        <v>218.16</v>
      </c>
      <c r="H498" s="10">
        <v>0</v>
      </c>
      <c r="I498" s="10">
        <v>194.5</v>
      </c>
      <c r="J498" s="10">
        <v>74.11</v>
      </c>
      <c r="K498" s="10">
        <v>81.05</v>
      </c>
      <c r="L498" s="10">
        <v>21.9</v>
      </c>
      <c r="M498" s="10">
        <v>115.54</v>
      </c>
      <c r="N498" s="10">
        <f t="shared" si="99"/>
        <v>971.52999999999986</v>
      </c>
    </row>
    <row r="499" spans="1:14" x14ac:dyDescent="0.2">
      <c r="A499" s="17" t="s">
        <v>328</v>
      </c>
      <c r="B499" s="10">
        <v>117.82</v>
      </c>
      <c r="C499" s="10">
        <v>121.02</v>
      </c>
      <c r="D499" s="10">
        <v>0</v>
      </c>
      <c r="E499" s="10">
        <v>32.26</v>
      </c>
      <c r="F499" s="10">
        <v>64.94</v>
      </c>
      <c r="G499" s="10">
        <v>53.79</v>
      </c>
      <c r="H499" s="10">
        <v>117.61</v>
      </c>
      <c r="I499" s="10">
        <v>224.41</v>
      </c>
      <c r="J499" s="10">
        <v>148.74</v>
      </c>
      <c r="K499" s="10">
        <v>94.85</v>
      </c>
      <c r="L499" s="10">
        <v>61.17</v>
      </c>
      <c r="M499" s="10">
        <v>13.02</v>
      </c>
      <c r="N499" s="10">
        <f t="shared" si="99"/>
        <v>1049.6300000000001</v>
      </c>
    </row>
    <row r="500" spans="1:14" x14ac:dyDescent="0.2">
      <c r="A500" s="17" t="s">
        <v>329</v>
      </c>
      <c r="B500" s="10">
        <v>243.9</v>
      </c>
      <c r="C500" s="10">
        <v>243.9</v>
      </c>
      <c r="D500" s="10">
        <v>243.9</v>
      </c>
      <c r="E500" s="10">
        <v>243.9</v>
      </c>
      <c r="F500" s="10">
        <v>243.9</v>
      </c>
      <c r="G500" s="10">
        <v>277.97000000000003</v>
      </c>
      <c r="H500" s="10">
        <v>243.9</v>
      </c>
      <c r="I500" s="10">
        <v>243.9</v>
      </c>
      <c r="J500" s="10">
        <v>243.9</v>
      </c>
      <c r="K500" s="10">
        <v>243.9</v>
      </c>
      <c r="L500" s="10">
        <v>243.9</v>
      </c>
      <c r="M500" s="10">
        <v>243.9</v>
      </c>
      <c r="N500" s="10">
        <f t="shared" si="99"/>
        <v>2960.8700000000003</v>
      </c>
    </row>
    <row r="501" spans="1:14" x14ac:dyDescent="0.2">
      <c r="A501" s="17" t="s">
        <v>330</v>
      </c>
      <c r="B501" s="10">
        <v>0</v>
      </c>
      <c r="C501" s="10">
        <v>0</v>
      </c>
      <c r="D501" s="10">
        <v>0</v>
      </c>
      <c r="E501" s="10">
        <v>0</v>
      </c>
      <c r="F501" s="10">
        <v>1006.54</v>
      </c>
      <c r="G501" s="10">
        <v>2496.12</v>
      </c>
      <c r="H501" s="10">
        <v>294.44</v>
      </c>
      <c r="I501" s="10">
        <v>1200.1400000000001</v>
      </c>
      <c r="J501" s="10">
        <v>0</v>
      </c>
      <c r="K501" s="10">
        <v>688.54</v>
      </c>
      <c r="L501" s="10">
        <v>1038.8399999999999</v>
      </c>
      <c r="M501" s="10">
        <v>0</v>
      </c>
      <c r="N501" s="10">
        <f t="shared" si="99"/>
        <v>6724.62</v>
      </c>
    </row>
    <row r="502" spans="1:14" x14ac:dyDescent="0.2">
      <c r="A502" s="17" t="s">
        <v>331</v>
      </c>
      <c r="B502" s="10">
        <v>466.02</v>
      </c>
      <c r="C502" s="10">
        <v>828.25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f t="shared" si="99"/>
        <v>1294.27</v>
      </c>
    </row>
    <row r="503" spans="1:14" x14ac:dyDescent="0.2">
      <c r="A503" s="17" t="s">
        <v>332</v>
      </c>
      <c r="B503" s="10">
        <v>494.87</v>
      </c>
      <c r="C503" s="10">
        <v>444.57</v>
      </c>
      <c r="D503" s="10">
        <v>1079.75</v>
      </c>
      <c r="E503" s="10">
        <v>1191.6300000000001</v>
      </c>
      <c r="F503" s="10">
        <v>509.23</v>
      </c>
      <c r="G503" s="10">
        <v>1045.18</v>
      </c>
      <c r="H503" s="10">
        <v>904.01</v>
      </c>
      <c r="I503" s="10">
        <v>818.3</v>
      </c>
      <c r="J503" s="10">
        <v>1318</v>
      </c>
      <c r="K503" s="10">
        <v>866.79</v>
      </c>
      <c r="L503" s="10">
        <v>504.06</v>
      </c>
      <c r="M503" s="10">
        <v>1362.38</v>
      </c>
      <c r="N503" s="10">
        <f t="shared" si="99"/>
        <v>10538.77</v>
      </c>
    </row>
    <row r="504" spans="1:14" x14ac:dyDescent="0.2">
      <c r="A504" s="17" t="s">
        <v>333</v>
      </c>
      <c r="B504" s="10">
        <v>2588</v>
      </c>
      <c r="C504" s="10">
        <v>3522.88</v>
      </c>
      <c r="D504" s="10">
        <v>4170.7700000000004</v>
      </c>
      <c r="E504" s="10">
        <v>3391.74</v>
      </c>
      <c r="F504" s="10">
        <v>3948.31</v>
      </c>
      <c r="G504" s="10">
        <v>3548.46</v>
      </c>
      <c r="H504" s="10">
        <v>3510.29</v>
      </c>
      <c r="I504" s="10">
        <v>3301.86</v>
      </c>
      <c r="J504" s="10">
        <v>3002.05</v>
      </c>
      <c r="K504" s="10">
        <v>3201.91</v>
      </c>
      <c r="L504" s="10">
        <v>2959.49</v>
      </c>
      <c r="M504" s="10">
        <v>2188.3200000000002</v>
      </c>
      <c r="N504" s="10">
        <f t="shared" si="99"/>
        <v>39334.080000000002</v>
      </c>
    </row>
    <row r="505" spans="1:14" x14ac:dyDescent="0.2">
      <c r="A505" s="17" t="s">
        <v>334</v>
      </c>
      <c r="B505" s="10">
        <v>0</v>
      </c>
      <c r="C505" s="10">
        <v>0</v>
      </c>
      <c r="D505" s="10">
        <v>0</v>
      </c>
      <c r="E505" s="10">
        <v>0</v>
      </c>
      <c r="F505" s="10">
        <v>0</v>
      </c>
      <c r="G505" s="10">
        <v>0</v>
      </c>
      <c r="H505" s="10">
        <v>0</v>
      </c>
      <c r="I505" s="10">
        <v>0</v>
      </c>
      <c r="J505" s="10">
        <v>79</v>
      </c>
      <c r="K505" s="10">
        <v>0</v>
      </c>
      <c r="L505" s="10">
        <v>0</v>
      </c>
      <c r="M505" s="10">
        <v>0</v>
      </c>
      <c r="N505" s="10">
        <f t="shared" si="99"/>
        <v>79</v>
      </c>
    </row>
    <row r="506" spans="1:14" x14ac:dyDescent="0.2">
      <c r="A506" s="17" t="s">
        <v>335</v>
      </c>
      <c r="B506" s="10">
        <v>0</v>
      </c>
      <c r="C506" s="10">
        <v>0</v>
      </c>
      <c r="D506" s="10">
        <v>0</v>
      </c>
      <c r="E506" s="10">
        <v>0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44.75</v>
      </c>
      <c r="L506" s="10">
        <v>10.24</v>
      </c>
      <c r="M506" s="10">
        <v>0</v>
      </c>
      <c r="N506" s="10">
        <f t="shared" si="99"/>
        <v>54.99</v>
      </c>
    </row>
    <row r="507" spans="1:14" ht="4.95" customHeight="1" x14ac:dyDescent="0.2">
      <c r="A507" s="11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spans="1:14" ht="4.95" customHeight="1" x14ac:dyDescent="0.2"/>
    <row r="509" spans="1:14" x14ac:dyDescent="0.2">
      <c r="A509" s="16" t="s">
        <v>137</v>
      </c>
      <c r="B509" s="9">
        <f t="shared" ref="B509:N509" si="100">SUM(B497:B506)</f>
        <v>4036.02</v>
      </c>
      <c r="C509" s="9">
        <f t="shared" si="100"/>
        <v>5232.33</v>
      </c>
      <c r="D509" s="9">
        <f t="shared" si="100"/>
        <v>5503.39</v>
      </c>
      <c r="E509" s="9">
        <f t="shared" si="100"/>
        <v>5973.71</v>
      </c>
      <c r="F509" s="9">
        <f t="shared" si="100"/>
        <v>5833.1</v>
      </c>
      <c r="G509" s="9">
        <f t="shared" si="100"/>
        <v>7639.68</v>
      </c>
      <c r="H509" s="9">
        <f t="shared" si="100"/>
        <v>5070.25</v>
      </c>
      <c r="I509" s="9">
        <f t="shared" si="100"/>
        <v>5983.1100000000006</v>
      </c>
      <c r="J509" s="9">
        <f t="shared" si="100"/>
        <v>4865.8</v>
      </c>
      <c r="K509" s="9">
        <f t="shared" si="100"/>
        <v>5221.79</v>
      </c>
      <c r="L509" s="9">
        <f t="shared" si="100"/>
        <v>4839.5999999999995</v>
      </c>
      <c r="M509" s="9">
        <f t="shared" si="100"/>
        <v>3923.1600000000003</v>
      </c>
      <c r="N509" s="9">
        <f t="shared" si="100"/>
        <v>64121.94</v>
      </c>
    </row>
    <row r="510" spans="1:14" ht="4.95" customHeight="1" x14ac:dyDescent="0.2"/>
    <row r="511" spans="1:14" ht="4.95" customHeight="1" x14ac:dyDescent="0.2"/>
    <row r="512" spans="1:14" x14ac:dyDescent="0.2">
      <c r="A512" s="16" t="s">
        <v>336</v>
      </c>
      <c r="B512" s="9">
        <f t="shared" ref="B512:N512" si="101">B472+B494+B509</f>
        <v>26617.280000000002</v>
      </c>
      <c r="C512" s="9">
        <f t="shared" si="101"/>
        <v>29982.32</v>
      </c>
      <c r="D512" s="9">
        <f t="shared" si="101"/>
        <v>34996.33</v>
      </c>
      <c r="E512" s="9">
        <f t="shared" si="101"/>
        <v>32069.29</v>
      </c>
      <c r="F512" s="9">
        <f t="shared" si="101"/>
        <v>34095.519999999997</v>
      </c>
      <c r="G512" s="9">
        <f t="shared" si="101"/>
        <v>32909.69</v>
      </c>
      <c r="H512" s="9">
        <f t="shared" si="101"/>
        <v>31339.71</v>
      </c>
      <c r="I512" s="9">
        <f t="shared" si="101"/>
        <v>30685.96</v>
      </c>
      <c r="J512" s="9">
        <f t="shared" si="101"/>
        <v>30410.789999999997</v>
      </c>
      <c r="K512" s="9">
        <f t="shared" si="101"/>
        <v>28539.360000000001</v>
      </c>
      <c r="L512" s="9">
        <f t="shared" si="101"/>
        <v>28869.899999999998</v>
      </c>
      <c r="M512" s="9">
        <f t="shared" si="101"/>
        <v>25506.76</v>
      </c>
      <c r="N512" s="9">
        <f t="shared" si="101"/>
        <v>366022.91000000003</v>
      </c>
    </row>
    <row r="513" spans="1:14" ht="4.95" customHeight="1" x14ac:dyDescent="0.2"/>
    <row r="514" spans="1:14" x14ac:dyDescent="0.2">
      <c r="A514" s="7" t="s">
        <v>337</v>
      </c>
      <c r="B514" s="9">
        <f t="shared" ref="B514:N514" si="102">B465-B512</f>
        <v>5732.7000000000007</v>
      </c>
      <c r="C514" s="9">
        <f t="shared" si="102"/>
        <v>14053.720000000001</v>
      </c>
      <c r="D514" s="9">
        <f t="shared" si="102"/>
        <v>17138.259999999995</v>
      </c>
      <c r="E514" s="9">
        <f t="shared" si="102"/>
        <v>10327.440000000002</v>
      </c>
      <c r="F514" s="9">
        <f t="shared" si="102"/>
        <v>15258.330000000002</v>
      </c>
      <c r="G514" s="9">
        <f t="shared" si="102"/>
        <v>11446.039999999994</v>
      </c>
      <c r="H514" s="9">
        <f t="shared" si="102"/>
        <v>12538.949999999997</v>
      </c>
      <c r="I514" s="9">
        <f t="shared" si="102"/>
        <v>16034.800000000003</v>
      </c>
      <c r="J514" s="9">
        <f t="shared" si="102"/>
        <v>12171.100000000002</v>
      </c>
      <c r="K514" s="9">
        <f t="shared" si="102"/>
        <v>16430.900000000001</v>
      </c>
      <c r="L514" s="9">
        <f t="shared" si="102"/>
        <v>13385.000000000004</v>
      </c>
      <c r="M514" s="9">
        <f t="shared" si="102"/>
        <v>10418.41</v>
      </c>
      <c r="N514" s="9">
        <f t="shared" si="102"/>
        <v>154935.64999999997</v>
      </c>
    </row>
    <row r="515" spans="1:14" ht="4.95" customHeight="1" x14ac:dyDescent="0.2"/>
    <row r="516" spans="1:14" x14ac:dyDescent="0.2">
      <c r="A516" s="16" t="s">
        <v>338</v>
      </c>
    </row>
    <row r="518" spans="1:14" x14ac:dyDescent="0.2">
      <c r="A518" s="16" t="s">
        <v>339</v>
      </c>
    </row>
    <row r="519" spans="1:14" x14ac:dyDescent="0.2">
      <c r="A519" s="16" t="s">
        <v>340</v>
      </c>
    </row>
    <row r="520" spans="1:14" x14ac:dyDescent="0.2">
      <c r="A520" s="17" t="s">
        <v>341</v>
      </c>
      <c r="B520" s="10">
        <v>18620.71</v>
      </c>
      <c r="C520" s="10">
        <v>27882.15</v>
      </c>
      <c r="D520" s="10">
        <v>28973.25</v>
      </c>
      <c r="E520" s="10">
        <v>22586.49</v>
      </c>
      <c r="F520" s="10">
        <v>26276.42</v>
      </c>
      <c r="G520" s="10">
        <v>20522.62</v>
      </c>
      <c r="H520" s="10">
        <v>23179.09</v>
      </c>
      <c r="I520" s="10">
        <v>25190.5</v>
      </c>
      <c r="J520" s="10">
        <v>21983.62</v>
      </c>
      <c r="K520" s="10">
        <v>23144.18</v>
      </c>
      <c r="L520" s="10">
        <v>22974.63</v>
      </c>
      <c r="M520" s="10">
        <v>16694.55</v>
      </c>
      <c r="N520" s="10">
        <f>B520+C520+D520+E520+F520+G520+H520+I520+J520+K520+L520+M520</f>
        <v>278028.21000000002</v>
      </c>
    </row>
    <row r="521" spans="1:14" ht="4.95" customHeight="1" x14ac:dyDescent="0.2">
      <c r="A521" s="11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 spans="1:14" ht="4.95" customHeight="1" x14ac:dyDescent="0.2"/>
    <row r="523" spans="1:14" x14ac:dyDescent="0.2">
      <c r="A523" s="16" t="s">
        <v>342</v>
      </c>
      <c r="B523" s="9">
        <f t="shared" ref="B523:N523" si="103">B520</f>
        <v>18620.71</v>
      </c>
      <c r="C523" s="9">
        <f t="shared" si="103"/>
        <v>27882.15</v>
      </c>
      <c r="D523" s="9">
        <f t="shared" si="103"/>
        <v>28973.25</v>
      </c>
      <c r="E523" s="9">
        <f t="shared" si="103"/>
        <v>22586.49</v>
      </c>
      <c r="F523" s="9">
        <f t="shared" si="103"/>
        <v>26276.42</v>
      </c>
      <c r="G523" s="9">
        <f t="shared" si="103"/>
        <v>20522.62</v>
      </c>
      <c r="H523" s="9">
        <f t="shared" si="103"/>
        <v>23179.09</v>
      </c>
      <c r="I523" s="9">
        <f t="shared" si="103"/>
        <v>25190.5</v>
      </c>
      <c r="J523" s="9">
        <f t="shared" si="103"/>
        <v>21983.62</v>
      </c>
      <c r="K523" s="9">
        <f t="shared" si="103"/>
        <v>23144.18</v>
      </c>
      <c r="L523" s="9">
        <f t="shared" si="103"/>
        <v>22974.63</v>
      </c>
      <c r="M523" s="9">
        <f t="shared" si="103"/>
        <v>16694.55</v>
      </c>
      <c r="N523" s="9">
        <f t="shared" si="103"/>
        <v>278028.21000000002</v>
      </c>
    </row>
    <row r="524" spans="1:14" ht="4.95" customHeight="1" x14ac:dyDescent="0.2"/>
    <row r="525" spans="1:14" x14ac:dyDescent="0.2">
      <c r="A525" s="16" t="s">
        <v>343</v>
      </c>
    </row>
    <row r="526" spans="1:14" x14ac:dyDescent="0.2">
      <c r="A526" s="17" t="s">
        <v>344</v>
      </c>
      <c r="B526" s="10">
        <v>6823.5</v>
      </c>
      <c r="C526" s="10">
        <v>9046</v>
      </c>
      <c r="D526" s="10">
        <v>9751.5</v>
      </c>
      <c r="E526" s="10">
        <v>7250</v>
      </c>
      <c r="F526" s="10">
        <v>8726.5</v>
      </c>
      <c r="G526" s="10">
        <v>6123</v>
      </c>
      <c r="H526" s="10">
        <v>5478</v>
      </c>
      <c r="I526" s="10">
        <v>6751.5</v>
      </c>
      <c r="J526" s="10">
        <v>7515</v>
      </c>
      <c r="K526" s="10">
        <v>9380.5</v>
      </c>
      <c r="L526" s="10">
        <v>7883.01</v>
      </c>
      <c r="M526" s="10">
        <v>5154.5</v>
      </c>
      <c r="N526" s="10">
        <f>B526+C526+D526+E526+F526+G526+H526+I526+J526+K526+L526+M526</f>
        <v>89883.01</v>
      </c>
    </row>
    <row r="527" spans="1:14" x14ac:dyDescent="0.2">
      <c r="A527" s="17" t="s">
        <v>345</v>
      </c>
      <c r="B527" s="10">
        <v>3164</v>
      </c>
      <c r="C527" s="10">
        <v>5094</v>
      </c>
      <c r="D527" s="10">
        <v>4788</v>
      </c>
      <c r="E527" s="10">
        <v>4188</v>
      </c>
      <c r="F527" s="10">
        <v>3723</v>
      </c>
      <c r="G527" s="10">
        <v>2655</v>
      </c>
      <c r="H527" s="10">
        <v>2727</v>
      </c>
      <c r="I527" s="10">
        <v>2210</v>
      </c>
      <c r="J527" s="10">
        <v>2194</v>
      </c>
      <c r="K527" s="10">
        <v>4388.1000000000004</v>
      </c>
      <c r="L527" s="10">
        <v>3077</v>
      </c>
      <c r="M527" s="10">
        <v>2612</v>
      </c>
      <c r="N527" s="10">
        <f>B527+C527+D527+E527+F527+G527+H527+I527+J527+K527+L527+M527</f>
        <v>40820.1</v>
      </c>
    </row>
    <row r="528" spans="1:14" x14ac:dyDescent="0.2">
      <c r="A528" s="17" t="s">
        <v>346</v>
      </c>
      <c r="B528" s="10">
        <v>17818</v>
      </c>
      <c r="C528" s="10">
        <v>23924</v>
      </c>
      <c r="D528" s="10">
        <v>27009</v>
      </c>
      <c r="E528" s="10">
        <v>18928</v>
      </c>
      <c r="F528" s="10">
        <v>21783</v>
      </c>
      <c r="G528" s="10">
        <v>22526</v>
      </c>
      <c r="H528" s="10">
        <v>17254</v>
      </c>
      <c r="I528" s="10">
        <v>18141</v>
      </c>
      <c r="J528" s="10">
        <v>15503</v>
      </c>
      <c r="K528" s="10">
        <v>17680</v>
      </c>
      <c r="L528" s="10">
        <v>16906</v>
      </c>
      <c r="M528" s="10">
        <v>12415</v>
      </c>
      <c r="N528" s="10">
        <f>B528+C528+D528+E528+F528+G528+H528+I528+J528+K528+L528+M528</f>
        <v>229887</v>
      </c>
    </row>
    <row r="529" spans="1:14" ht="4.95" customHeight="1" x14ac:dyDescent="0.2">
      <c r="A529" s="11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 spans="1:14" ht="4.95" customHeight="1" x14ac:dyDescent="0.2"/>
    <row r="531" spans="1:14" x14ac:dyDescent="0.2">
      <c r="A531" s="16" t="s">
        <v>347</v>
      </c>
      <c r="B531" s="9">
        <f t="shared" ref="B531:N531" si="104">SUM(B526:B528)</f>
        <v>27805.5</v>
      </c>
      <c r="C531" s="9">
        <f t="shared" si="104"/>
        <v>38064</v>
      </c>
      <c r="D531" s="9">
        <f t="shared" si="104"/>
        <v>41548.5</v>
      </c>
      <c r="E531" s="9">
        <f t="shared" si="104"/>
        <v>30366</v>
      </c>
      <c r="F531" s="9">
        <f t="shared" si="104"/>
        <v>34232.5</v>
      </c>
      <c r="G531" s="9">
        <f t="shared" si="104"/>
        <v>31304</v>
      </c>
      <c r="H531" s="9">
        <f t="shared" si="104"/>
        <v>25459</v>
      </c>
      <c r="I531" s="9">
        <f t="shared" si="104"/>
        <v>27102.5</v>
      </c>
      <c r="J531" s="9">
        <f t="shared" si="104"/>
        <v>25212</v>
      </c>
      <c r="K531" s="9">
        <f t="shared" si="104"/>
        <v>31448.6</v>
      </c>
      <c r="L531" s="9">
        <f t="shared" si="104"/>
        <v>27866.010000000002</v>
      </c>
      <c r="M531" s="9">
        <f t="shared" si="104"/>
        <v>20181.5</v>
      </c>
      <c r="N531" s="9">
        <f t="shared" si="104"/>
        <v>360590.11</v>
      </c>
    </row>
    <row r="532" spans="1:14" ht="4.95" customHeight="1" x14ac:dyDescent="0.2"/>
    <row r="533" spans="1:14" x14ac:dyDescent="0.2">
      <c r="A533" s="16" t="s">
        <v>348</v>
      </c>
    </row>
    <row r="534" spans="1:14" x14ac:dyDescent="0.2">
      <c r="A534" s="17" t="s">
        <v>349</v>
      </c>
      <c r="B534" s="10">
        <v>0</v>
      </c>
      <c r="C534" s="10">
        <v>0</v>
      </c>
      <c r="D534" s="10">
        <v>0</v>
      </c>
      <c r="E534" s="10">
        <v>0</v>
      </c>
      <c r="F534" s="10">
        <v>910.16</v>
      </c>
      <c r="G534" s="10">
        <v>993.95</v>
      </c>
      <c r="H534" s="10">
        <v>282.67</v>
      </c>
      <c r="I534" s="10">
        <v>363.05</v>
      </c>
      <c r="J534" s="10">
        <v>0</v>
      </c>
      <c r="K534" s="10">
        <v>0</v>
      </c>
      <c r="L534" s="10">
        <v>0</v>
      </c>
      <c r="M534" s="10">
        <v>0</v>
      </c>
      <c r="N534" s="10">
        <f>B534+C534+D534+E534+F534+G534+H534+I534+J534+K534+L534+M534</f>
        <v>2549.8300000000004</v>
      </c>
    </row>
    <row r="535" spans="1:14" ht="4.95" customHeight="1" x14ac:dyDescent="0.2">
      <c r="A535" s="11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spans="1:14" ht="4.95" customHeight="1" x14ac:dyDescent="0.2"/>
    <row r="537" spans="1:14" x14ac:dyDescent="0.2">
      <c r="A537" s="16" t="s">
        <v>350</v>
      </c>
      <c r="B537" s="9">
        <f t="shared" ref="B537:N537" si="105">B534</f>
        <v>0</v>
      </c>
      <c r="C537" s="9">
        <f t="shared" si="105"/>
        <v>0</v>
      </c>
      <c r="D537" s="9">
        <f t="shared" si="105"/>
        <v>0</v>
      </c>
      <c r="E537" s="9">
        <f t="shared" si="105"/>
        <v>0</v>
      </c>
      <c r="F537" s="9">
        <f t="shared" si="105"/>
        <v>910.16</v>
      </c>
      <c r="G537" s="9">
        <f t="shared" si="105"/>
        <v>993.95</v>
      </c>
      <c r="H537" s="9">
        <f t="shared" si="105"/>
        <v>282.67</v>
      </c>
      <c r="I537" s="9">
        <f t="shared" si="105"/>
        <v>363.05</v>
      </c>
      <c r="J537" s="9">
        <f t="shared" si="105"/>
        <v>0</v>
      </c>
      <c r="K537" s="9">
        <f t="shared" si="105"/>
        <v>0</v>
      </c>
      <c r="L537" s="9">
        <f t="shared" si="105"/>
        <v>0</v>
      </c>
      <c r="M537" s="9">
        <f t="shared" si="105"/>
        <v>0</v>
      </c>
      <c r="N537" s="9">
        <f t="shared" si="105"/>
        <v>2549.8300000000004</v>
      </c>
    </row>
    <row r="538" spans="1:14" ht="4.95" customHeight="1" x14ac:dyDescent="0.2"/>
    <row r="539" spans="1:14" ht="4.95" customHeight="1" x14ac:dyDescent="0.2">
      <c r="A539" s="11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 spans="1:14" ht="4.95" customHeight="1" x14ac:dyDescent="0.2"/>
    <row r="541" spans="1:14" x14ac:dyDescent="0.2">
      <c r="A541" s="16" t="s">
        <v>351</v>
      </c>
      <c r="B541" s="9">
        <f t="shared" ref="B541:N541" si="106">B523+B531+B537</f>
        <v>46426.21</v>
      </c>
      <c r="C541" s="9">
        <f t="shared" si="106"/>
        <v>65946.149999999994</v>
      </c>
      <c r="D541" s="9">
        <f t="shared" si="106"/>
        <v>70521.75</v>
      </c>
      <c r="E541" s="9">
        <f t="shared" si="106"/>
        <v>52952.490000000005</v>
      </c>
      <c r="F541" s="9">
        <f t="shared" si="106"/>
        <v>61419.08</v>
      </c>
      <c r="G541" s="9">
        <f t="shared" si="106"/>
        <v>52820.569999999992</v>
      </c>
      <c r="H541" s="9">
        <f t="shared" si="106"/>
        <v>48920.759999999995</v>
      </c>
      <c r="I541" s="9">
        <f t="shared" si="106"/>
        <v>52656.05</v>
      </c>
      <c r="J541" s="9">
        <f t="shared" si="106"/>
        <v>47195.619999999995</v>
      </c>
      <c r="K541" s="9">
        <f t="shared" si="106"/>
        <v>54592.78</v>
      </c>
      <c r="L541" s="9">
        <f t="shared" si="106"/>
        <v>50840.639999999999</v>
      </c>
      <c r="M541" s="9">
        <f t="shared" si="106"/>
        <v>36876.050000000003</v>
      </c>
      <c r="N541" s="9">
        <f t="shared" si="106"/>
        <v>641168.15</v>
      </c>
    </row>
    <row r="543" spans="1:14" x14ac:dyDescent="0.2">
      <c r="A543" s="16" t="s">
        <v>352</v>
      </c>
    </row>
    <row r="544" spans="1:14" x14ac:dyDescent="0.2">
      <c r="A544" s="17" t="s">
        <v>353</v>
      </c>
      <c r="B544" s="10">
        <v>6155.82</v>
      </c>
      <c r="C544" s="10">
        <v>6240.67</v>
      </c>
      <c r="D544" s="10">
        <v>6968.39</v>
      </c>
      <c r="E544" s="10">
        <v>6150.88</v>
      </c>
      <c r="F544" s="10">
        <v>9586.1</v>
      </c>
      <c r="G544" s="10">
        <v>7007.42</v>
      </c>
      <c r="H544" s="10">
        <v>7232.13</v>
      </c>
      <c r="I544" s="10">
        <v>9139.48</v>
      </c>
      <c r="J544" s="10">
        <v>6016.01</v>
      </c>
      <c r="K544" s="10">
        <v>5895.32</v>
      </c>
      <c r="L544" s="10">
        <v>4387.8</v>
      </c>
      <c r="M544" s="10">
        <v>5040.04</v>
      </c>
      <c r="N544" s="10">
        <f>B544+C544+D544+E544+F544+G544+H544+I544+J544+K544+L544+M544</f>
        <v>79820.06</v>
      </c>
    </row>
    <row r="545" spans="1:14" x14ac:dyDescent="0.2">
      <c r="A545" s="17" t="s">
        <v>354</v>
      </c>
      <c r="B545" s="10">
        <v>3911.12</v>
      </c>
      <c r="C545" s="10">
        <v>5594.9</v>
      </c>
      <c r="D545" s="10">
        <v>7235.39</v>
      </c>
      <c r="E545" s="10">
        <v>3228.53</v>
      </c>
      <c r="F545" s="10">
        <v>5508.34</v>
      </c>
      <c r="G545" s="10">
        <v>4863.1499999999996</v>
      </c>
      <c r="H545" s="10">
        <v>3970.09</v>
      </c>
      <c r="I545" s="10">
        <v>3914.22</v>
      </c>
      <c r="J545" s="10">
        <v>3968.41</v>
      </c>
      <c r="K545" s="10">
        <v>5542.8</v>
      </c>
      <c r="L545" s="10">
        <v>3928.29</v>
      </c>
      <c r="M545" s="10">
        <v>4348.3599999999997</v>
      </c>
      <c r="N545" s="10">
        <f>B545+C545+D545+E545+F545+G545+H545+I545+J545+K545+L545+M545</f>
        <v>56013.600000000013</v>
      </c>
    </row>
    <row r="546" spans="1:14" ht="4.95" customHeight="1" x14ac:dyDescent="0.2"/>
    <row r="547" spans="1:14" ht="4.95" customHeight="1" x14ac:dyDescent="0.2">
      <c r="A547" s="11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 spans="1:14" ht="4.95" customHeight="1" x14ac:dyDescent="0.2"/>
    <row r="549" spans="1:14" x14ac:dyDescent="0.2">
      <c r="A549" s="16" t="s">
        <v>355</v>
      </c>
      <c r="B549" s="9">
        <f t="shared" ref="B549:N549" si="107">SUM(B544:B545)</f>
        <v>10066.939999999999</v>
      </c>
      <c r="C549" s="9">
        <f t="shared" si="107"/>
        <v>11835.57</v>
      </c>
      <c r="D549" s="9">
        <f t="shared" si="107"/>
        <v>14203.78</v>
      </c>
      <c r="E549" s="9">
        <f t="shared" si="107"/>
        <v>9379.41</v>
      </c>
      <c r="F549" s="9">
        <f t="shared" si="107"/>
        <v>15094.44</v>
      </c>
      <c r="G549" s="9">
        <f t="shared" si="107"/>
        <v>11870.57</v>
      </c>
      <c r="H549" s="9">
        <f t="shared" si="107"/>
        <v>11202.220000000001</v>
      </c>
      <c r="I549" s="9">
        <f t="shared" si="107"/>
        <v>13053.699999999999</v>
      </c>
      <c r="J549" s="9">
        <f t="shared" si="107"/>
        <v>9984.42</v>
      </c>
      <c r="K549" s="9">
        <f t="shared" si="107"/>
        <v>11438.119999999999</v>
      </c>
      <c r="L549" s="9">
        <f t="shared" si="107"/>
        <v>8316.09</v>
      </c>
      <c r="M549" s="9">
        <f t="shared" si="107"/>
        <v>9388.4</v>
      </c>
      <c r="N549" s="9">
        <f t="shared" si="107"/>
        <v>135833.66</v>
      </c>
    </row>
    <row r="550" spans="1:14" ht="4.95" customHeight="1" x14ac:dyDescent="0.2"/>
    <row r="551" spans="1:14" x14ac:dyDescent="0.2">
      <c r="A551" s="16" t="s">
        <v>192</v>
      </c>
      <c r="B551" s="9">
        <f t="shared" ref="B551:N551" si="108">(B541)-(B549)</f>
        <v>36359.270000000004</v>
      </c>
      <c r="C551" s="9">
        <f t="shared" si="108"/>
        <v>54110.579999999994</v>
      </c>
      <c r="D551" s="9">
        <f t="shared" si="108"/>
        <v>56317.97</v>
      </c>
      <c r="E551" s="9">
        <f t="shared" si="108"/>
        <v>43573.08</v>
      </c>
      <c r="F551" s="9">
        <f t="shared" si="108"/>
        <v>46324.639999999999</v>
      </c>
      <c r="G551" s="9">
        <f t="shared" si="108"/>
        <v>40949.999999999993</v>
      </c>
      <c r="H551" s="9">
        <f t="shared" si="108"/>
        <v>37718.539999999994</v>
      </c>
      <c r="I551" s="9">
        <f t="shared" si="108"/>
        <v>39602.350000000006</v>
      </c>
      <c r="J551" s="9">
        <f t="shared" si="108"/>
        <v>37211.199999999997</v>
      </c>
      <c r="K551" s="9">
        <f t="shared" si="108"/>
        <v>43154.66</v>
      </c>
      <c r="L551" s="9">
        <f t="shared" si="108"/>
        <v>42524.55</v>
      </c>
      <c r="M551" s="9">
        <f t="shared" si="108"/>
        <v>27487.65</v>
      </c>
      <c r="N551" s="9">
        <f t="shared" si="108"/>
        <v>505334.49</v>
      </c>
    </row>
    <row r="553" spans="1:14" x14ac:dyDescent="0.2">
      <c r="A553" s="16" t="s">
        <v>356</v>
      </c>
    </row>
    <row r="555" spans="1:14" x14ac:dyDescent="0.2">
      <c r="A555" s="16" t="s">
        <v>357</v>
      </c>
    </row>
    <row r="556" spans="1:14" x14ac:dyDescent="0.2">
      <c r="A556" s="16" t="s">
        <v>358</v>
      </c>
    </row>
    <row r="557" spans="1:14" x14ac:dyDescent="0.2">
      <c r="A557" s="17" t="s">
        <v>359</v>
      </c>
      <c r="B557" s="10">
        <v>1115.72</v>
      </c>
      <c r="C557" s="10">
        <v>1313.52</v>
      </c>
      <c r="D557" s="10">
        <v>1612.63</v>
      </c>
      <c r="E557" s="10">
        <v>1391.07</v>
      </c>
      <c r="F557" s="10">
        <v>1469.64</v>
      </c>
      <c r="G557" s="10">
        <v>1170.74</v>
      </c>
      <c r="H557" s="10">
        <v>1089.95</v>
      </c>
      <c r="I557" s="10">
        <v>1291.94</v>
      </c>
      <c r="J557" s="10">
        <v>1230.06</v>
      </c>
      <c r="K557" s="10">
        <v>1175.67</v>
      </c>
      <c r="L557" s="10">
        <v>983.7</v>
      </c>
      <c r="M557" s="10">
        <v>735.24</v>
      </c>
      <c r="N557" s="10">
        <f>B557+C557+D557+E557+F557+G557+H557+I557+J557+K557+L557+M557</f>
        <v>14579.880000000001</v>
      </c>
    </row>
    <row r="558" spans="1:14" x14ac:dyDescent="0.2">
      <c r="A558" s="17" t="s">
        <v>360</v>
      </c>
      <c r="B558" s="10">
        <v>2576.88</v>
      </c>
      <c r="C558" s="10">
        <v>2638.03</v>
      </c>
      <c r="D558" s="10">
        <v>2440.02</v>
      </c>
      <c r="E558" s="10">
        <v>2145.5</v>
      </c>
      <c r="F558" s="10">
        <v>2446.4299999999998</v>
      </c>
      <c r="G558" s="10">
        <v>2050.41</v>
      </c>
      <c r="H558" s="10">
        <v>1942.61</v>
      </c>
      <c r="I558" s="10">
        <v>2355.54</v>
      </c>
      <c r="J558" s="10">
        <v>1952.72</v>
      </c>
      <c r="K558" s="10">
        <v>2064.5100000000002</v>
      </c>
      <c r="L558" s="10">
        <v>1772.27</v>
      </c>
      <c r="M558" s="10">
        <v>1621.08</v>
      </c>
      <c r="N558" s="10">
        <f>B558+C558+D558+E558+F558+G558+H558+I558+J558+K558+L558+M558</f>
        <v>26006</v>
      </c>
    </row>
    <row r="559" spans="1:14" x14ac:dyDescent="0.2">
      <c r="A559" s="16" t="s">
        <v>361</v>
      </c>
      <c r="B559" s="9">
        <f t="shared" ref="B559:N559" si="109">SUM(B557:B558)</f>
        <v>3692.6000000000004</v>
      </c>
      <c r="C559" s="9">
        <f t="shared" si="109"/>
        <v>3951.55</v>
      </c>
      <c r="D559" s="9">
        <f t="shared" si="109"/>
        <v>4052.65</v>
      </c>
      <c r="E559" s="9">
        <f t="shared" si="109"/>
        <v>3536.5699999999997</v>
      </c>
      <c r="F559" s="9">
        <f t="shared" si="109"/>
        <v>3916.0699999999997</v>
      </c>
      <c r="G559" s="9">
        <f t="shared" si="109"/>
        <v>3221.1499999999996</v>
      </c>
      <c r="H559" s="9">
        <f t="shared" si="109"/>
        <v>3032.56</v>
      </c>
      <c r="I559" s="9">
        <f t="shared" si="109"/>
        <v>3647.48</v>
      </c>
      <c r="J559" s="9">
        <f t="shared" si="109"/>
        <v>3182.7799999999997</v>
      </c>
      <c r="K559" s="9">
        <f t="shared" si="109"/>
        <v>3240.1800000000003</v>
      </c>
      <c r="L559" s="9">
        <f t="shared" si="109"/>
        <v>2755.9700000000003</v>
      </c>
      <c r="M559" s="9">
        <f t="shared" si="109"/>
        <v>2356.3199999999997</v>
      </c>
      <c r="N559" s="9">
        <f t="shared" si="109"/>
        <v>40585.880000000005</v>
      </c>
    </row>
    <row r="560" spans="1:14" x14ac:dyDescent="0.2">
      <c r="A560" s="16" t="s">
        <v>362</v>
      </c>
      <c r="B560" s="9">
        <f t="shared" ref="B560:N560" si="110">B559</f>
        <v>3692.6000000000004</v>
      </c>
      <c r="C560" s="9">
        <f t="shared" si="110"/>
        <v>3951.55</v>
      </c>
      <c r="D560" s="9">
        <f t="shared" si="110"/>
        <v>4052.65</v>
      </c>
      <c r="E560" s="9">
        <f t="shared" si="110"/>
        <v>3536.5699999999997</v>
      </c>
      <c r="F560" s="9">
        <f t="shared" si="110"/>
        <v>3916.0699999999997</v>
      </c>
      <c r="G560" s="9">
        <f t="shared" si="110"/>
        <v>3221.1499999999996</v>
      </c>
      <c r="H560" s="9">
        <f t="shared" si="110"/>
        <v>3032.56</v>
      </c>
      <c r="I560" s="9">
        <f t="shared" si="110"/>
        <v>3647.48</v>
      </c>
      <c r="J560" s="9">
        <f t="shared" si="110"/>
        <v>3182.7799999999997</v>
      </c>
      <c r="K560" s="9">
        <f t="shared" si="110"/>
        <v>3240.1800000000003</v>
      </c>
      <c r="L560" s="9">
        <f t="shared" si="110"/>
        <v>2755.9700000000003</v>
      </c>
      <c r="M560" s="9">
        <f t="shared" si="110"/>
        <v>2356.3199999999997</v>
      </c>
      <c r="N560" s="9">
        <f t="shared" si="110"/>
        <v>40585.880000000005</v>
      </c>
    </row>
    <row r="562" spans="1:14" x14ac:dyDescent="0.2">
      <c r="A562" s="16" t="s">
        <v>363</v>
      </c>
    </row>
    <row r="563" spans="1:14" x14ac:dyDescent="0.2">
      <c r="A563" s="17" t="s">
        <v>364</v>
      </c>
      <c r="B563" s="10">
        <v>406.77</v>
      </c>
      <c r="C563" s="10">
        <v>412.76</v>
      </c>
      <c r="D563" s="10">
        <v>573.53</v>
      </c>
      <c r="E563" s="10">
        <v>365.53</v>
      </c>
      <c r="F563" s="10">
        <v>402.92</v>
      </c>
      <c r="G563" s="10">
        <v>312.62</v>
      </c>
      <c r="H563" s="10">
        <v>299</v>
      </c>
      <c r="I563" s="10">
        <v>445.94</v>
      </c>
      <c r="J563" s="10">
        <v>290.14999999999998</v>
      </c>
      <c r="K563" s="10">
        <v>267.72000000000003</v>
      </c>
      <c r="L563" s="10">
        <v>243.63</v>
      </c>
      <c r="M563" s="10">
        <v>212.41</v>
      </c>
      <c r="N563" s="10">
        <f t="shared" ref="N563:N568" si="111">B563+C563+D563+E563+F563+G563+H563+I563+J563+K563+L563+M563</f>
        <v>4232.9799999999996</v>
      </c>
    </row>
    <row r="564" spans="1:14" x14ac:dyDescent="0.2">
      <c r="A564" s="17" t="s">
        <v>365</v>
      </c>
      <c r="B564" s="10">
        <v>20.73</v>
      </c>
      <c r="C564" s="10">
        <v>20.7</v>
      </c>
      <c r="D564" s="10">
        <v>19.32</v>
      </c>
      <c r="E564" s="10">
        <v>17.309999999999999</v>
      </c>
      <c r="F564" s="10">
        <v>21.05</v>
      </c>
      <c r="G564" s="10">
        <v>18.260000000000002</v>
      </c>
      <c r="H564" s="10">
        <v>17.39</v>
      </c>
      <c r="I564" s="10">
        <v>75.97</v>
      </c>
      <c r="J564" s="10">
        <v>68.27</v>
      </c>
      <c r="K564" s="10">
        <v>61.29</v>
      </c>
      <c r="L564" s="10">
        <v>55.68</v>
      </c>
      <c r="M564" s="10">
        <v>55.78</v>
      </c>
      <c r="N564" s="10">
        <f t="shared" si="111"/>
        <v>451.75</v>
      </c>
    </row>
    <row r="565" spans="1:14" x14ac:dyDescent="0.2">
      <c r="A565" s="17" t="s">
        <v>366</v>
      </c>
      <c r="B565" s="10">
        <v>69.010000000000005</v>
      </c>
      <c r="C565" s="10">
        <v>73.290000000000006</v>
      </c>
      <c r="D565" s="10">
        <v>44.41</v>
      </c>
      <c r="E565" s="10">
        <v>70.09</v>
      </c>
      <c r="F565" s="10">
        <v>61.31</v>
      </c>
      <c r="G565" s="10">
        <v>60.63</v>
      </c>
      <c r="H565" s="10">
        <v>66.86</v>
      </c>
      <c r="I565" s="10">
        <v>47.23</v>
      </c>
      <c r="J565" s="10">
        <v>54.78</v>
      </c>
      <c r="K565" s="10">
        <v>52.6</v>
      </c>
      <c r="L565" s="10">
        <v>45.02</v>
      </c>
      <c r="M565" s="10">
        <v>53.63</v>
      </c>
      <c r="N565" s="10">
        <f t="shared" si="111"/>
        <v>698.86</v>
      </c>
    </row>
    <row r="566" spans="1:14" x14ac:dyDescent="0.2">
      <c r="A566" s="17" t="s">
        <v>367</v>
      </c>
      <c r="B566" s="10">
        <v>141.12</v>
      </c>
      <c r="C566" s="10">
        <v>0</v>
      </c>
      <c r="D566" s="10">
        <v>1425.6</v>
      </c>
      <c r="E566" s="10">
        <v>0</v>
      </c>
      <c r="F566" s="10">
        <v>145.44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10">
        <v>290.88</v>
      </c>
      <c r="M566" s="10">
        <v>200.72</v>
      </c>
      <c r="N566" s="10">
        <f t="shared" si="111"/>
        <v>2203.7599999999998</v>
      </c>
    </row>
    <row r="567" spans="1:14" x14ac:dyDescent="0.2">
      <c r="A567" s="17" t="s">
        <v>368</v>
      </c>
      <c r="B567" s="10">
        <v>0</v>
      </c>
      <c r="C567" s="10">
        <v>0</v>
      </c>
      <c r="D567" s="10">
        <v>65.45</v>
      </c>
      <c r="E567" s="10">
        <v>0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10">
        <v>0</v>
      </c>
      <c r="M567" s="10">
        <v>136.72</v>
      </c>
      <c r="N567" s="10">
        <f t="shared" si="111"/>
        <v>202.17000000000002</v>
      </c>
    </row>
    <row r="568" spans="1:14" x14ac:dyDescent="0.2">
      <c r="A568" s="17" t="s">
        <v>369</v>
      </c>
      <c r="B568" s="10">
        <v>247.33</v>
      </c>
      <c r="C568" s="10">
        <v>0</v>
      </c>
      <c r="D568" s="10">
        <v>115.4</v>
      </c>
      <c r="E568" s="10">
        <v>0</v>
      </c>
      <c r="F568" s="10">
        <v>0</v>
      </c>
      <c r="G568" s="10">
        <v>131.16999999999999</v>
      </c>
      <c r="H568" s="10">
        <v>68.36</v>
      </c>
      <c r="I568" s="10">
        <v>0</v>
      </c>
      <c r="J568" s="10">
        <v>64.08</v>
      </c>
      <c r="K568" s="10">
        <v>0</v>
      </c>
      <c r="L568" s="10">
        <v>0</v>
      </c>
      <c r="M568" s="10">
        <v>56.27</v>
      </c>
      <c r="N568" s="10">
        <f t="shared" si="111"/>
        <v>682.61</v>
      </c>
    </row>
    <row r="569" spans="1:14" x14ac:dyDescent="0.2">
      <c r="A569" s="16" t="s">
        <v>370</v>
      </c>
      <c r="B569" s="9">
        <f t="shared" ref="B569:N569" si="112">SUM(B563:B568)</f>
        <v>884.96</v>
      </c>
      <c r="C569" s="9">
        <f t="shared" si="112"/>
        <v>506.75</v>
      </c>
      <c r="D569" s="9">
        <f t="shared" si="112"/>
        <v>2243.7099999999996</v>
      </c>
      <c r="E569" s="9">
        <f t="shared" si="112"/>
        <v>452.92999999999995</v>
      </c>
      <c r="F569" s="9">
        <f t="shared" si="112"/>
        <v>630.72</v>
      </c>
      <c r="G569" s="9">
        <f t="shared" si="112"/>
        <v>522.67999999999995</v>
      </c>
      <c r="H569" s="9">
        <f t="shared" si="112"/>
        <v>451.61</v>
      </c>
      <c r="I569" s="9">
        <f t="shared" si="112"/>
        <v>569.14</v>
      </c>
      <c r="J569" s="9">
        <f t="shared" si="112"/>
        <v>477.27999999999992</v>
      </c>
      <c r="K569" s="9">
        <f t="shared" si="112"/>
        <v>381.61000000000007</v>
      </c>
      <c r="L569" s="9">
        <f t="shared" si="112"/>
        <v>635.21</v>
      </c>
      <c r="M569" s="9">
        <f t="shared" si="112"/>
        <v>715.53</v>
      </c>
      <c r="N569" s="9">
        <f t="shared" si="112"/>
        <v>8472.1299999999992</v>
      </c>
    </row>
    <row r="570" spans="1:14" ht="4.95" customHeight="1" x14ac:dyDescent="0.2">
      <c r="A570" s="11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 spans="1:14" ht="4.95" customHeight="1" x14ac:dyDescent="0.2"/>
    <row r="572" spans="1:14" x14ac:dyDescent="0.2">
      <c r="A572" s="16" t="s">
        <v>371</v>
      </c>
      <c r="B572" s="9">
        <f t="shared" ref="B572:N572" si="113">B560+B569</f>
        <v>4577.5600000000004</v>
      </c>
      <c r="C572" s="9">
        <f t="shared" si="113"/>
        <v>4458.3</v>
      </c>
      <c r="D572" s="9">
        <f t="shared" si="113"/>
        <v>6296.36</v>
      </c>
      <c r="E572" s="9">
        <f t="shared" si="113"/>
        <v>3989.4999999999995</v>
      </c>
      <c r="F572" s="9">
        <f t="shared" si="113"/>
        <v>4546.79</v>
      </c>
      <c r="G572" s="9">
        <f t="shared" si="113"/>
        <v>3743.8299999999995</v>
      </c>
      <c r="H572" s="9">
        <f t="shared" si="113"/>
        <v>3484.17</v>
      </c>
      <c r="I572" s="9">
        <f t="shared" si="113"/>
        <v>4216.62</v>
      </c>
      <c r="J572" s="9">
        <f t="shared" si="113"/>
        <v>3660.0599999999995</v>
      </c>
      <c r="K572" s="9">
        <f t="shared" si="113"/>
        <v>3621.7900000000004</v>
      </c>
      <c r="L572" s="9">
        <f t="shared" si="113"/>
        <v>3391.1800000000003</v>
      </c>
      <c r="M572" s="9">
        <f t="shared" si="113"/>
        <v>3071.8499999999995</v>
      </c>
      <c r="N572" s="9">
        <f t="shared" si="113"/>
        <v>49058.01</v>
      </c>
    </row>
    <row r="573" spans="1:14" ht="4.95" customHeight="1" x14ac:dyDescent="0.2"/>
    <row r="574" spans="1:14" x14ac:dyDescent="0.2">
      <c r="A574" s="16" t="s">
        <v>112</v>
      </c>
    </row>
    <row r="575" spans="1:14" x14ac:dyDescent="0.2">
      <c r="A575" s="17" t="s">
        <v>372</v>
      </c>
      <c r="B575" s="10">
        <v>0</v>
      </c>
      <c r="C575" s="10">
        <v>0</v>
      </c>
      <c r="D575" s="10">
        <v>0</v>
      </c>
      <c r="E575" s="10">
        <v>1512.51</v>
      </c>
      <c r="F575" s="10">
        <v>726.01</v>
      </c>
      <c r="G575" s="10">
        <v>664.96</v>
      </c>
      <c r="H575" s="10">
        <v>418.5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f>B575+C575+D575+E575+F575+G575+H575+I575+J575+K575+L575+M575</f>
        <v>3321.98</v>
      </c>
    </row>
    <row r="576" spans="1:14" x14ac:dyDescent="0.2">
      <c r="A576" s="17" t="s">
        <v>373</v>
      </c>
      <c r="B576" s="10">
        <v>0</v>
      </c>
      <c r="C576" s="10">
        <v>0</v>
      </c>
      <c r="D576" s="10">
        <v>0</v>
      </c>
      <c r="E576" s="10">
        <v>0</v>
      </c>
      <c r="F576" s="10">
        <v>0</v>
      </c>
      <c r="G576" s="10">
        <v>0</v>
      </c>
      <c r="H576" s="10">
        <v>0</v>
      </c>
      <c r="I576" s="10">
        <v>0</v>
      </c>
      <c r="J576" s="10">
        <v>0</v>
      </c>
      <c r="K576" s="10">
        <v>12.24</v>
      </c>
      <c r="L576" s="10">
        <v>0</v>
      </c>
      <c r="M576" s="10">
        <v>0</v>
      </c>
      <c r="N576" s="10">
        <f>B576+C576+D576+E576+F576+G576+H576+I576+J576+K576+L576+M576</f>
        <v>12.24</v>
      </c>
    </row>
    <row r="577" spans="1:14" x14ac:dyDescent="0.2">
      <c r="A577" s="17" t="s">
        <v>374</v>
      </c>
      <c r="B577" s="10">
        <v>512.67999999999995</v>
      </c>
      <c r="C577" s="10">
        <v>518.02</v>
      </c>
      <c r="D577" s="10">
        <v>875.25</v>
      </c>
      <c r="E577" s="10">
        <v>518.02</v>
      </c>
      <c r="F577" s="10">
        <v>160.79</v>
      </c>
      <c r="G577" s="10">
        <v>518.02</v>
      </c>
      <c r="H577" s="10">
        <v>518.02</v>
      </c>
      <c r="I577" s="10">
        <v>518.02</v>
      </c>
      <c r="J577" s="10">
        <v>518.02</v>
      </c>
      <c r="K577" s="10">
        <v>518.03</v>
      </c>
      <c r="L577" s="10">
        <v>523.35</v>
      </c>
      <c r="M577" s="10">
        <v>523.35</v>
      </c>
      <c r="N577" s="10">
        <f>B577+C577+D577+E577+F577+G577+H577+I577+J577+K577+L577+M577</f>
        <v>6221.5700000000006</v>
      </c>
    </row>
    <row r="578" spans="1:14" ht="4.95" customHeight="1" x14ac:dyDescent="0.2">
      <c r="A578" s="11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 spans="1:14" ht="4.95" customHeight="1" x14ac:dyDescent="0.2"/>
    <row r="580" spans="1:14" x14ac:dyDescent="0.2">
      <c r="A580" s="16" t="s">
        <v>137</v>
      </c>
      <c r="B580" s="9">
        <f t="shared" ref="B580:N580" si="114">SUM(B575:B577)</f>
        <v>512.67999999999995</v>
      </c>
      <c r="C580" s="9">
        <f t="shared" si="114"/>
        <v>518.02</v>
      </c>
      <c r="D580" s="9">
        <f t="shared" si="114"/>
        <v>875.25</v>
      </c>
      <c r="E580" s="9">
        <f t="shared" si="114"/>
        <v>2030.53</v>
      </c>
      <c r="F580" s="9">
        <f t="shared" si="114"/>
        <v>886.8</v>
      </c>
      <c r="G580" s="9">
        <f t="shared" si="114"/>
        <v>1182.98</v>
      </c>
      <c r="H580" s="9">
        <f t="shared" si="114"/>
        <v>936.52</v>
      </c>
      <c r="I580" s="9">
        <f t="shared" si="114"/>
        <v>518.02</v>
      </c>
      <c r="J580" s="9">
        <f t="shared" si="114"/>
        <v>518.02</v>
      </c>
      <c r="K580" s="9">
        <f t="shared" si="114"/>
        <v>530.27</v>
      </c>
      <c r="L580" s="9">
        <f t="shared" si="114"/>
        <v>523.35</v>
      </c>
      <c r="M580" s="9">
        <f t="shared" si="114"/>
        <v>523.35</v>
      </c>
      <c r="N580" s="9">
        <f t="shared" si="114"/>
        <v>9555.7900000000009</v>
      </c>
    </row>
    <row r="581" spans="1:14" ht="4.95" customHeight="1" x14ac:dyDescent="0.2"/>
    <row r="582" spans="1:14" ht="4.95" customHeight="1" x14ac:dyDescent="0.2"/>
    <row r="583" spans="1:14" x14ac:dyDescent="0.2">
      <c r="A583" s="16" t="s">
        <v>375</v>
      </c>
      <c r="B583" s="9">
        <f t="shared" ref="B583:N583" si="115">B549+B572+B580</f>
        <v>15157.18</v>
      </c>
      <c r="C583" s="9">
        <f t="shared" si="115"/>
        <v>16811.89</v>
      </c>
      <c r="D583" s="9">
        <f t="shared" si="115"/>
        <v>21375.39</v>
      </c>
      <c r="E583" s="9">
        <f t="shared" si="115"/>
        <v>15399.44</v>
      </c>
      <c r="F583" s="9">
        <f t="shared" si="115"/>
        <v>20528.03</v>
      </c>
      <c r="G583" s="9">
        <f t="shared" si="115"/>
        <v>16797.38</v>
      </c>
      <c r="H583" s="9">
        <f t="shared" si="115"/>
        <v>15622.910000000002</v>
      </c>
      <c r="I583" s="9">
        <f t="shared" si="115"/>
        <v>17788.34</v>
      </c>
      <c r="J583" s="9">
        <f t="shared" si="115"/>
        <v>14162.5</v>
      </c>
      <c r="K583" s="9">
        <f t="shared" si="115"/>
        <v>15590.18</v>
      </c>
      <c r="L583" s="9">
        <f t="shared" si="115"/>
        <v>12230.62</v>
      </c>
      <c r="M583" s="9">
        <f t="shared" si="115"/>
        <v>12983.6</v>
      </c>
      <c r="N583" s="9">
        <f t="shared" si="115"/>
        <v>194447.46000000002</v>
      </c>
    </row>
    <row r="584" spans="1:14" ht="4.95" customHeight="1" x14ac:dyDescent="0.2"/>
    <row r="585" spans="1:14" x14ac:dyDescent="0.2">
      <c r="A585" s="7" t="s">
        <v>376</v>
      </c>
      <c r="B585" s="9">
        <f t="shared" ref="B585:N585" si="116">B541-B583</f>
        <v>31269.03</v>
      </c>
      <c r="C585" s="9">
        <f t="shared" si="116"/>
        <v>49134.259999999995</v>
      </c>
      <c r="D585" s="9">
        <f t="shared" si="116"/>
        <v>49146.36</v>
      </c>
      <c r="E585" s="9">
        <f t="shared" si="116"/>
        <v>37553.050000000003</v>
      </c>
      <c r="F585" s="9">
        <f t="shared" si="116"/>
        <v>40891.050000000003</v>
      </c>
      <c r="G585" s="9">
        <f t="shared" si="116"/>
        <v>36023.189999999988</v>
      </c>
      <c r="H585" s="9">
        <f t="shared" si="116"/>
        <v>33297.849999999991</v>
      </c>
      <c r="I585" s="9">
        <f t="shared" si="116"/>
        <v>34867.710000000006</v>
      </c>
      <c r="J585" s="9">
        <f t="shared" si="116"/>
        <v>33033.119999999995</v>
      </c>
      <c r="K585" s="9">
        <f t="shared" si="116"/>
        <v>39002.6</v>
      </c>
      <c r="L585" s="9">
        <f t="shared" si="116"/>
        <v>38610.019999999997</v>
      </c>
      <c r="M585" s="9">
        <f t="shared" si="116"/>
        <v>23892.450000000004</v>
      </c>
      <c r="N585" s="9">
        <f t="shared" si="116"/>
        <v>446720.69</v>
      </c>
    </row>
    <row r="586" spans="1:14" ht="4.95" customHeight="1" x14ac:dyDescent="0.2"/>
    <row r="587" spans="1:14" x14ac:dyDescent="0.2">
      <c r="A587" s="16" t="s">
        <v>338</v>
      </c>
    </row>
    <row r="588" spans="1:14" x14ac:dyDescent="0.2">
      <c r="A588" s="16" t="s">
        <v>377</v>
      </c>
    </row>
    <row r="589" spans="1:14" x14ac:dyDescent="0.2">
      <c r="A589" s="17" t="s">
        <v>378</v>
      </c>
      <c r="B589" s="18">
        <v>1243</v>
      </c>
      <c r="C589" s="18">
        <v>1861</v>
      </c>
      <c r="D589" s="18">
        <v>1930</v>
      </c>
      <c r="E589" s="18">
        <v>1507</v>
      </c>
      <c r="F589" s="18">
        <v>1755</v>
      </c>
      <c r="G589" s="18">
        <v>1371</v>
      </c>
      <c r="H589" s="18">
        <v>1546</v>
      </c>
      <c r="I589" s="18">
        <v>1682</v>
      </c>
      <c r="J589" s="18">
        <v>1468</v>
      </c>
      <c r="K589" s="18">
        <v>2107</v>
      </c>
      <c r="L589" s="18">
        <v>2256</v>
      </c>
      <c r="M589" s="18">
        <v>1062</v>
      </c>
      <c r="N589" s="18">
        <f>B589+C589+D589+E589+F589+G589+H589+I589+J589+K589+L589+M589</f>
        <v>19788</v>
      </c>
    </row>
    <row r="590" spans="1:14" x14ac:dyDescent="0.2">
      <c r="A590" s="17" t="s">
        <v>379</v>
      </c>
      <c r="B590" s="10">
        <v>14.98</v>
      </c>
      <c r="C590" s="10">
        <v>14.98</v>
      </c>
      <c r="D590" s="10">
        <v>15.01</v>
      </c>
      <c r="E590" s="10">
        <v>14.99</v>
      </c>
      <c r="F590" s="10">
        <v>14.97</v>
      </c>
      <c r="G590" s="10">
        <v>14.97</v>
      </c>
      <c r="H590" s="10">
        <v>14.99</v>
      </c>
      <c r="I590" s="10">
        <v>14.98</v>
      </c>
      <c r="J590" s="10">
        <v>14.98</v>
      </c>
      <c r="K590" s="10">
        <v>10.98</v>
      </c>
      <c r="L590" s="10">
        <v>10.18</v>
      </c>
      <c r="M590" s="10">
        <v>15.72</v>
      </c>
      <c r="N590" s="10">
        <f>B590+C590+D590+E590+F590+G590+H590+I590+J590+K590+L590+M590</f>
        <v>171.73</v>
      </c>
    </row>
    <row r="591" spans="1:14" ht="4.95" customHeight="1" x14ac:dyDescent="0.2"/>
    <row r="592" spans="1:14" ht="4.95" customHeight="1" x14ac:dyDescent="0.2"/>
    <row r="593" spans="1:14" ht="4.95" customHeight="1" x14ac:dyDescent="0.2"/>
    <row r="594" spans="1:14" x14ac:dyDescent="0.2">
      <c r="A594" s="16" t="s">
        <v>380</v>
      </c>
    </row>
    <row r="596" spans="1:14" x14ac:dyDescent="0.2">
      <c r="A596" s="16" t="s">
        <v>381</v>
      </c>
    </row>
    <row r="597" spans="1:14" x14ac:dyDescent="0.2">
      <c r="A597" s="16" t="s">
        <v>382</v>
      </c>
    </row>
    <row r="598" spans="1:14" x14ac:dyDescent="0.2">
      <c r="A598" s="17" t="s">
        <v>383</v>
      </c>
      <c r="B598" s="10">
        <v>457</v>
      </c>
      <c r="C598" s="10">
        <v>385.95</v>
      </c>
      <c r="D598" s="10">
        <v>900.45</v>
      </c>
      <c r="E598" s="10">
        <v>387</v>
      </c>
      <c r="F598" s="10">
        <v>652.5</v>
      </c>
      <c r="G598" s="10">
        <v>558.95000000000005</v>
      </c>
      <c r="H598" s="10">
        <v>635</v>
      </c>
      <c r="I598" s="10">
        <v>487</v>
      </c>
      <c r="J598" s="10">
        <v>758</v>
      </c>
      <c r="K598" s="10">
        <v>463.5</v>
      </c>
      <c r="L598" s="10">
        <v>0</v>
      </c>
      <c r="M598" s="10">
        <v>0</v>
      </c>
      <c r="N598" s="10">
        <f>B598+C598+D598+E598+F598+G598+H598+I598+J598+K598+L598+M598</f>
        <v>5685.35</v>
      </c>
    </row>
    <row r="599" spans="1:14" x14ac:dyDescent="0.2">
      <c r="A599" s="17" t="s">
        <v>384</v>
      </c>
      <c r="B599" s="10">
        <v>333</v>
      </c>
      <c r="C599" s="10">
        <v>284.45</v>
      </c>
      <c r="D599" s="10">
        <v>582</v>
      </c>
      <c r="E599" s="10">
        <v>367.5</v>
      </c>
      <c r="F599" s="10">
        <v>1143</v>
      </c>
      <c r="G599" s="10">
        <v>664.5</v>
      </c>
      <c r="H599" s="10">
        <v>380</v>
      </c>
      <c r="I599" s="10">
        <v>299.5</v>
      </c>
      <c r="J599" s="10">
        <v>156.94999999999999</v>
      </c>
      <c r="K599" s="10">
        <v>799</v>
      </c>
      <c r="L599" s="10">
        <v>3529.99</v>
      </c>
      <c r="M599" s="10">
        <v>2844.5</v>
      </c>
      <c r="N599" s="10">
        <f>B599+C599+D599+E599+F599+G599+H599+I599+J599+K599+L599+M599</f>
        <v>11384.39</v>
      </c>
    </row>
    <row r="600" spans="1:14" x14ac:dyDescent="0.2">
      <c r="A600" s="17" t="s">
        <v>385</v>
      </c>
      <c r="B600" s="10">
        <v>2810</v>
      </c>
      <c r="C600" s="10">
        <v>3410</v>
      </c>
      <c r="D600" s="10">
        <v>4050.49</v>
      </c>
      <c r="E600" s="10">
        <v>4384.5</v>
      </c>
      <c r="F600" s="10">
        <v>3515.95</v>
      </c>
      <c r="G600" s="10">
        <v>2606.5</v>
      </c>
      <c r="H600" s="10">
        <v>3245.5</v>
      </c>
      <c r="I600" s="10">
        <v>2170.5</v>
      </c>
      <c r="J600" s="10">
        <v>2077</v>
      </c>
      <c r="K600" s="10">
        <v>1801.5</v>
      </c>
      <c r="L600" s="10">
        <v>0</v>
      </c>
      <c r="M600" s="10">
        <v>0</v>
      </c>
      <c r="N600" s="10">
        <f>B600+C600+D600+E600+F600+G600+H600+I600+J600+K600+L600+M600</f>
        <v>30071.94</v>
      </c>
    </row>
    <row r="601" spans="1:14" ht="4.95" customHeight="1" x14ac:dyDescent="0.2">
      <c r="A601" s="11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</row>
    <row r="602" spans="1:14" ht="4.95" customHeight="1" x14ac:dyDescent="0.2"/>
    <row r="603" spans="1:14" x14ac:dyDescent="0.2">
      <c r="A603" s="16" t="s">
        <v>386</v>
      </c>
      <c r="B603" s="9">
        <f t="shared" ref="B603:N603" si="117">SUM(B598:B600)</f>
        <v>3600</v>
      </c>
      <c r="C603" s="9">
        <f t="shared" si="117"/>
        <v>4080.4</v>
      </c>
      <c r="D603" s="9">
        <f t="shared" si="117"/>
        <v>5532.94</v>
      </c>
      <c r="E603" s="9">
        <f t="shared" si="117"/>
        <v>5139</v>
      </c>
      <c r="F603" s="9">
        <f t="shared" si="117"/>
        <v>5311.45</v>
      </c>
      <c r="G603" s="9">
        <f t="shared" si="117"/>
        <v>3829.95</v>
      </c>
      <c r="H603" s="9">
        <f t="shared" si="117"/>
        <v>4260.5</v>
      </c>
      <c r="I603" s="9">
        <f t="shared" si="117"/>
        <v>2957</v>
      </c>
      <c r="J603" s="9">
        <f t="shared" si="117"/>
        <v>2991.95</v>
      </c>
      <c r="K603" s="9">
        <f t="shared" si="117"/>
        <v>3064</v>
      </c>
      <c r="L603" s="9">
        <f t="shared" si="117"/>
        <v>3529.99</v>
      </c>
      <c r="M603" s="9">
        <f t="shared" si="117"/>
        <v>2844.5</v>
      </c>
      <c r="N603" s="9">
        <f t="shared" si="117"/>
        <v>47141.679999999993</v>
      </c>
    </row>
    <row r="604" spans="1:14" ht="4.95" customHeight="1" x14ac:dyDescent="0.2"/>
    <row r="605" spans="1:14" x14ac:dyDescent="0.2">
      <c r="A605" s="16" t="s">
        <v>387</v>
      </c>
    </row>
    <row r="606" spans="1:14" x14ac:dyDescent="0.2">
      <c r="A606" s="17" t="s">
        <v>388</v>
      </c>
      <c r="B606" s="10">
        <v>30.5</v>
      </c>
      <c r="C606" s="10">
        <v>18.5</v>
      </c>
      <c r="D606" s="10">
        <v>96.5</v>
      </c>
      <c r="E606" s="10">
        <v>81</v>
      </c>
      <c r="F606" s="10">
        <v>27</v>
      </c>
      <c r="G606" s="10">
        <v>74</v>
      </c>
      <c r="H606" s="10">
        <v>139.5</v>
      </c>
      <c r="I606" s="10">
        <v>36</v>
      </c>
      <c r="J606" s="10">
        <v>39</v>
      </c>
      <c r="K606" s="10">
        <v>36</v>
      </c>
      <c r="L606" s="10">
        <v>19.5</v>
      </c>
      <c r="M606" s="10">
        <v>47</v>
      </c>
      <c r="N606" s="10">
        <f>B606+C606+D606+E606+F606+G606+H606+I606+J606+K606+L606+M606</f>
        <v>644.5</v>
      </c>
    </row>
    <row r="607" spans="1:14" x14ac:dyDescent="0.2">
      <c r="A607" s="17" t="s">
        <v>389</v>
      </c>
      <c r="B607" s="10">
        <v>94</v>
      </c>
      <c r="C607" s="10">
        <v>74</v>
      </c>
      <c r="D607" s="10">
        <v>129</v>
      </c>
      <c r="E607" s="10">
        <v>165</v>
      </c>
      <c r="F607" s="10">
        <v>131</v>
      </c>
      <c r="G607" s="10">
        <v>87</v>
      </c>
      <c r="H607" s="10">
        <v>60</v>
      </c>
      <c r="I607" s="10">
        <v>84</v>
      </c>
      <c r="J607" s="10">
        <v>124</v>
      </c>
      <c r="K607" s="10">
        <v>44</v>
      </c>
      <c r="L607" s="10">
        <v>35</v>
      </c>
      <c r="M607" s="10">
        <v>0</v>
      </c>
      <c r="N607" s="10">
        <f>B607+C607+D607+E607+F607+G607+H607+I607+J607+K607+L607+M607</f>
        <v>1027</v>
      </c>
    </row>
    <row r="608" spans="1:14" x14ac:dyDescent="0.2">
      <c r="A608" s="17" t="s">
        <v>390</v>
      </c>
      <c r="B608" s="10">
        <v>0</v>
      </c>
      <c r="C608" s="10">
        <v>0</v>
      </c>
      <c r="D608" s="10">
        <v>227</v>
      </c>
      <c r="E608" s="10">
        <v>22</v>
      </c>
      <c r="F608" s="10">
        <v>67</v>
      </c>
      <c r="G608" s="10">
        <v>34</v>
      </c>
      <c r="H608" s="10">
        <v>90</v>
      </c>
      <c r="I608" s="10">
        <v>30</v>
      </c>
      <c r="J608" s="10">
        <v>37</v>
      </c>
      <c r="K608" s="10">
        <v>0</v>
      </c>
      <c r="L608" s="10">
        <v>0</v>
      </c>
      <c r="M608" s="10">
        <v>0</v>
      </c>
      <c r="N608" s="10">
        <f>B608+C608+D608+E608+F608+G608+H608+I608+J608+K608+L608+M608</f>
        <v>507</v>
      </c>
    </row>
    <row r="609" spans="1:14" ht="4.95" customHeight="1" x14ac:dyDescent="0.2">
      <c r="A609" s="11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</row>
    <row r="610" spans="1:14" ht="4.95" customHeight="1" x14ac:dyDescent="0.2"/>
    <row r="611" spans="1:14" x14ac:dyDescent="0.2">
      <c r="A611" s="16" t="s">
        <v>391</v>
      </c>
      <c r="B611" s="9">
        <f t="shared" ref="B611:N611" si="118">SUM(B606:B608)</f>
        <v>124.5</v>
      </c>
      <c r="C611" s="9">
        <f t="shared" si="118"/>
        <v>92.5</v>
      </c>
      <c r="D611" s="9">
        <f t="shared" si="118"/>
        <v>452.5</v>
      </c>
      <c r="E611" s="9">
        <f t="shared" si="118"/>
        <v>268</v>
      </c>
      <c r="F611" s="9">
        <f t="shared" si="118"/>
        <v>225</v>
      </c>
      <c r="G611" s="9">
        <f t="shared" si="118"/>
        <v>195</v>
      </c>
      <c r="H611" s="9">
        <f t="shared" si="118"/>
        <v>289.5</v>
      </c>
      <c r="I611" s="9">
        <f t="shared" si="118"/>
        <v>150</v>
      </c>
      <c r="J611" s="9">
        <f t="shared" si="118"/>
        <v>200</v>
      </c>
      <c r="K611" s="9">
        <f t="shared" si="118"/>
        <v>80</v>
      </c>
      <c r="L611" s="9">
        <f t="shared" si="118"/>
        <v>54.5</v>
      </c>
      <c r="M611" s="9">
        <f t="shared" si="118"/>
        <v>47</v>
      </c>
      <c r="N611" s="9">
        <f t="shared" si="118"/>
        <v>2178.5</v>
      </c>
    </row>
    <row r="612" spans="1:14" ht="4.95" customHeight="1" x14ac:dyDescent="0.2"/>
    <row r="613" spans="1:14" x14ac:dyDescent="0.2">
      <c r="A613" s="16" t="s">
        <v>392</v>
      </c>
    </row>
    <row r="614" spans="1:14" x14ac:dyDescent="0.2">
      <c r="A614" s="17" t="s">
        <v>393</v>
      </c>
      <c r="B614" s="10">
        <v>645</v>
      </c>
      <c r="C614" s="10">
        <v>815</v>
      </c>
      <c r="D614" s="10">
        <v>980</v>
      </c>
      <c r="E614" s="10">
        <v>865</v>
      </c>
      <c r="F614" s="10">
        <v>825</v>
      </c>
      <c r="G614" s="10">
        <v>635</v>
      </c>
      <c r="H614" s="10">
        <v>750</v>
      </c>
      <c r="I614" s="10">
        <v>545</v>
      </c>
      <c r="J614" s="10">
        <v>605</v>
      </c>
      <c r="K614" s="10">
        <v>395</v>
      </c>
      <c r="L614" s="10">
        <v>500</v>
      </c>
      <c r="M614" s="10">
        <v>480</v>
      </c>
      <c r="N614" s="10">
        <f>B614+C614+D614+E614+F614+G614+H614+I614+J614+K614+L614+M614</f>
        <v>8040</v>
      </c>
    </row>
    <row r="615" spans="1:14" ht="4.95" customHeight="1" x14ac:dyDescent="0.2">
      <c r="A615" s="11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</row>
    <row r="616" spans="1:14" ht="4.95" customHeight="1" x14ac:dyDescent="0.2"/>
    <row r="617" spans="1:14" x14ac:dyDescent="0.2">
      <c r="A617" s="16" t="s">
        <v>394</v>
      </c>
      <c r="B617" s="9">
        <f t="shared" ref="B617:N617" si="119">B614</f>
        <v>645</v>
      </c>
      <c r="C617" s="9">
        <f t="shared" si="119"/>
        <v>815</v>
      </c>
      <c r="D617" s="9">
        <f t="shared" si="119"/>
        <v>980</v>
      </c>
      <c r="E617" s="9">
        <f t="shared" si="119"/>
        <v>865</v>
      </c>
      <c r="F617" s="9">
        <f t="shared" si="119"/>
        <v>825</v>
      </c>
      <c r="G617" s="9">
        <f t="shared" si="119"/>
        <v>635</v>
      </c>
      <c r="H617" s="9">
        <f t="shared" si="119"/>
        <v>750</v>
      </c>
      <c r="I617" s="9">
        <f t="shared" si="119"/>
        <v>545</v>
      </c>
      <c r="J617" s="9">
        <f t="shared" si="119"/>
        <v>605</v>
      </c>
      <c r="K617" s="9">
        <f t="shared" si="119"/>
        <v>395</v>
      </c>
      <c r="L617" s="9">
        <f t="shared" si="119"/>
        <v>500</v>
      </c>
      <c r="M617" s="9">
        <f t="shared" si="119"/>
        <v>480</v>
      </c>
      <c r="N617" s="9">
        <f t="shared" si="119"/>
        <v>8040</v>
      </c>
    </row>
    <row r="618" spans="1:14" ht="4.95" customHeight="1" x14ac:dyDescent="0.2"/>
    <row r="619" spans="1:14" ht="4.95" customHeight="1" x14ac:dyDescent="0.2">
      <c r="A619" s="11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</row>
    <row r="620" spans="1:14" ht="4.95" customHeight="1" x14ac:dyDescent="0.2"/>
    <row r="621" spans="1:14" x14ac:dyDescent="0.2">
      <c r="A621" s="16" t="s">
        <v>395</v>
      </c>
      <c r="B621" s="9">
        <f t="shared" ref="B621:N621" si="120">B603+B611+B617</f>
        <v>4369.5</v>
      </c>
      <c r="C621" s="9">
        <f t="shared" si="120"/>
        <v>4987.8999999999996</v>
      </c>
      <c r="D621" s="9">
        <f t="shared" si="120"/>
        <v>6965.44</v>
      </c>
      <c r="E621" s="9">
        <f t="shared" si="120"/>
        <v>6272</v>
      </c>
      <c r="F621" s="9">
        <f t="shared" si="120"/>
        <v>6361.45</v>
      </c>
      <c r="G621" s="9">
        <f t="shared" si="120"/>
        <v>4659.95</v>
      </c>
      <c r="H621" s="9">
        <f t="shared" si="120"/>
        <v>5300</v>
      </c>
      <c r="I621" s="9">
        <f t="shared" si="120"/>
        <v>3652</v>
      </c>
      <c r="J621" s="9">
        <f t="shared" si="120"/>
        <v>3796.95</v>
      </c>
      <c r="K621" s="9">
        <f t="shared" si="120"/>
        <v>3539</v>
      </c>
      <c r="L621" s="9">
        <f t="shared" si="120"/>
        <v>4084.49</v>
      </c>
      <c r="M621" s="9">
        <f t="shared" si="120"/>
        <v>3371.5</v>
      </c>
      <c r="N621" s="9">
        <f t="shared" si="120"/>
        <v>57360.179999999993</v>
      </c>
    </row>
    <row r="623" spans="1:14" x14ac:dyDescent="0.2">
      <c r="A623" s="16" t="s">
        <v>396</v>
      </c>
    </row>
    <row r="624" spans="1:14" x14ac:dyDescent="0.2">
      <c r="A624" s="17" t="s">
        <v>397</v>
      </c>
      <c r="B624" s="10">
        <v>1190.1199999999999</v>
      </c>
      <c r="C624" s="10">
        <v>913.29</v>
      </c>
      <c r="D624" s="10">
        <v>1330.73</v>
      </c>
      <c r="E624" s="10">
        <v>1399.48</v>
      </c>
      <c r="F624" s="10">
        <v>1872.84</v>
      </c>
      <c r="G624" s="10">
        <v>1247.32</v>
      </c>
      <c r="H624" s="10">
        <v>1313.31</v>
      </c>
      <c r="I624" s="10">
        <v>1057.5999999999999</v>
      </c>
      <c r="J624" s="10">
        <v>818.76</v>
      </c>
      <c r="K624" s="10">
        <v>780.47</v>
      </c>
      <c r="L624" s="10">
        <v>674.17</v>
      </c>
      <c r="M624" s="10">
        <v>858.75</v>
      </c>
      <c r="N624" s="10">
        <f>B624+C624+D624+E624+F624+G624+H624+I624+J624+K624+L624+M624</f>
        <v>13456.84</v>
      </c>
    </row>
    <row r="625" spans="1:14" x14ac:dyDescent="0.2">
      <c r="A625" s="17" t="s">
        <v>398</v>
      </c>
      <c r="B625" s="10">
        <v>17.52</v>
      </c>
      <c r="C625" s="10">
        <v>13.6</v>
      </c>
      <c r="D625" s="10">
        <v>78.8</v>
      </c>
      <c r="E625" s="10">
        <v>28.5</v>
      </c>
      <c r="F625" s="10">
        <v>36.21</v>
      </c>
      <c r="G625" s="10">
        <v>30.29</v>
      </c>
      <c r="H625" s="10">
        <v>45.14</v>
      </c>
      <c r="I625" s="10">
        <v>21.67</v>
      </c>
      <c r="J625" s="10">
        <v>31.5</v>
      </c>
      <c r="K625" s="10">
        <v>14.1</v>
      </c>
      <c r="L625" s="10">
        <v>7.68</v>
      </c>
      <c r="M625" s="10">
        <v>10.130000000000001</v>
      </c>
      <c r="N625" s="10">
        <f>B625+C625+D625+E625+F625+G625+H625+I625+J625+K625+L625+M625</f>
        <v>335.14000000000004</v>
      </c>
    </row>
    <row r="626" spans="1:14" ht="4.95" customHeight="1" x14ac:dyDescent="0.2"/>
    <row r="627" spans="1:14" ht="4.95" customHeight="1" x14ac:dyDescent="0.2">
      <c r="A627" s="11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</row>
    <row r="628" spans="1:14" ht="4.95" customHeight="1" x14ac:dyDescent="0.2"/>
    <row r="629" spans="1:14" x14ac:dyDescent="0.2">
      <c r="A629" s="16" t="s">
        <v>399</v>
      </c>
      <c r="B629" s="9">
        <f t="shared" ref="B629:N629" si="121">SUM(B624:B625)</f>
        <v>1207.6399999999999</v>
      </c>
      <c r="C629" s="9">
        <f t="shared" si="121"/>
        <v>926.89</v>
      </c>
      <c r="D629" s="9">
        <f t="shared" si="121"/>
        <v>1409.53</v>
      </c>
      <c r="E629" s="9">
        <f t="shared" si="121"/>
        <v>1427.98</v>
      </c>
      <c r="F629" s="9">
        <f t="shared" si="121"/>
        <v>1909.05</v>
      </c>
      <c r="G629" s="9">
        <f t="shared" si="121"/>
        <v>1277.6099999999999</v>
      </c>
      <c r="H629" s="9">
        <f t="shared" si="121"/>
        <v>1358.45</v>
      </c>
      <c r="I629" s="9">
        <f t="shared" si="121"/>
        <v>1079.27</v>
      </c>
      <c r="J629" s="9">
        <f t="shared" si="121"/>
        <v>850.26</v>
      </c>
      <c r="K629" s="9">
        <f t="shared" si="121"/>
        <v>794.57</v>
      </c>
      <c r="L629" s="9">
        <f t="shared" si="121"/>
        <v>681.84999999999991</v>
      </c>
      <c r="M629" s="9">
        <f t="shared" si="121"/>
        <v>868.88</v>
      </c>
      <c r="N629" s="9">
        <f t="shared" si="121"/>
        <v>13791.98</v>
      </c>
    </row>
    <row r="630" spans="1:14" ht="4.95" customHeight="1" x14ac:dyDescent="0.2"/>
    <row r="631" spans="1:14" x14ac:dyDescent="0.2">
      <c r="A631" s="16" t="s">
        <v>192</v>
      </c>
      <c r="B631" s="9">
        <f t="shared" ref="B631:N631" si="122">(B621)-(B629)</f>
        <v>3161.86</v>
      </c>
      <c r="C631" s="9">
        <f t="shared" si="122"/>
        <v>4061.0099999999998</v>
      </c>
      <c r="D631" s="9">
        <f t="shared" si="122"/>
        <v>5555.91</v>
      </c>
      <c r="E631" s="9">
        <f t="shared" si="122"/>
        <v>4844.0200000000004</v>
      </c>
      <c r="F631" s="9">
        <f t="shared" si="122"/>
        <v>4452.3999999999996</v>
      </c>
      <c r="G631" s="9">
        <f t="shared" si="122"/>
        <v>3382.34</v>
      </c>
      <c r="H631" s="9">
        <f t="shared" si="122"/>
        <v>3941.55</v>
      </c>
      <c r="I631" s="9">
        <f t="shared" si="122"/>
        <v>2572.73</v>
      </c>
      <c r="J631" s="9">
        <f t="shared" si="122"/>
        <v>2946.6899999999996</v>
      </c>
      <c r="K631" s="9">
        <f t="shared" si="122"/>
        <v>2744.43</v>
      </c>
      <c r="L631" s="9">
        <f t="shared" si="122"/>
        <v>3402.64</v>
      </c>
      <c r="M631" s="9">
        <f t="shared" si="122"/>
        <v>2502.62</v>
      </c>
      <c r="N631" s="9">
        <f t="shared" si="122"/>
        <v>43568.2</v>
      </c>
    </row>
    <row r="633" spans="1:14" x14ac:dyDescent="0.2">
      <c r="A633" s="16" t="s">
        <v>400</v>
      </c>
    </row>
    <row r="635" spans="1:14" x14ac:dyDescent="0.2">
      <c r="A635" s="16" t="s">
        <v>401</v>
      </c>
    </row>
    <row r="636" spans="1:14" x14ac:dyDescent="0.2">
      <c r="A636" s="16" t="s">
        <v>402</v>
      </c>
    </row>
    <row r="637" spans="1:14" x14ac:dyDescent="0.2">
      <c r="A637" s="17" t="s">
        <v>403</v>
      </c>
      <c r="B637" s="10">
        <v>2450</v>
      </c>
      <c r="C637" s="10">
        <v>2514.7199999999998</v>
      </c>
      <c r="D637" s="10">
        <v>2784.13</v>
      </c>
      <c r="E637" s="10">
        <v>2785.97</v>
      </c>
      <c r="F637" s="10">
        <v>3047.93</v>
      </c>
      <c r="G637" s="10">
        <v>2282.77</v>
      </c>
      <c r="H637" s="10">
        <v>2014.45</v>
      </c>
      <c r="I637" s="10">
        <v>2112.7600000000002</v>
      </c>
      <c r="J637" s="10">
        <v>2114.39</v>
      </c>
      <c r="K637" s="10">
        <v>2268.61</v>
      </c>
      <c r="L637" s="10">
        <v>2169.84</v>
      </c>
      <c r="M637" s="10">
        <v>2104.3200000000002</v>
      </c>
      <c r="N637" s="10">
        <f>B637+C637+D637+E637+F637+G637+H637+I637+J637+K637+L637+M637</f>
        <v>28649.890000000003</v>
      </c>
    </row>
    <row r="638" spans="1:14" x14ac:dyDescent="0.2">
      <c r="A638" s="16" t="s">
        <v>404</v>
      </c>
      <c r="B638" s="9">
        <f t="shared" ref="B638:N639" si="123">B637</f>
        <v>2450</v>
      </c>
      <c r="C638" s="9">
        <f t="shared" si="123"/>
        <v>2514.7199999999998</v>
      </c>
      <c r="D638" s="9">
        <f t="shared" si="123"/>
        <v>2784.13</v>
      </c>
      <c r="E638" s="9">
        <f t="shared" si="123"/>
        <v>2785.97</v>
      </c>
      <c r="F638" s="9">
        <f t="shared" si="123"/>
        <v>3047.93</v>
      </c>
      <c r="G638" s="9">
        <f t="shared" si="123"/>
        <v>2282.77</v>
      </c>
      <c r="H638" s="9">
        <f t="shared" si="123"/>
        <v>2014.45</v>
      </c>
      <c r="I638" s="9">
        <f t="shared" si="123"/>
        <v>2112.7600000000002</v>
      </c>
      <c r="J638" s="9">
        <f t="shared" si="123"/>
        <v>2114.39</v>
      </c>
      <c r="K638" s="9">
        <f t="shared" si="123"/>
        <v>2268.61</v>
      </c>
      <c r="L638" s="9">
        <f t="shared" si="123"/>
        <v>2169.84</v>
      </c>
      <c r="M638" s="9">
        <f t="shared" si="123"/>
        <v>2104.3200000000002</v>
      </c>
      <c r="N638" s="9">
        <f t="shared" si="123"/>
        <v>28649.890000000003</v>
      </c>
    </row>
    <row r="639" spans="1:14" x14ac:dyDescent="0.2">
      <c r="A639" s="16" t="s">
        <v>405</v>
      </c>
      <c r="B639" s="9">
        <f t="shared" si="123"/>
        <v>2450</v>
      </c>
      <c r="C639" s="9">
        <f t="shared" si="123"/>
        <v>2514.7199999999998</v>
      </c>
      <c r="D639" s="9">
        <f t="shared" si="123"/>
        <v>2784.13</v>
      </c>
      <c r="E639" s="9">
        <f t="shared" si="123"/>
        <v>2785.97</v>
      </c>
      <c r="F639" s="9">
        <f t="shared" si="123"/>
        <v>3047.93</v>
      </c>
      <c r="G639" s="9">
        <f t="shared" si="123"/>
        <v>2282.77</v>
      </c>
      <c r="H639" s="9">
        <f t="shared" si="123"/>
        <v>2014.45</v>
      </c>
      <c r="I639" s="9">
        <f t="shared" si="123"/>
        <v>2112.7600000000002</v>
      </c>
      <c r="J639" s="9">
        <f t="shared" si="123"/>
        <v>2114.39</v>
      </c>
      <c r="K639" s="9">
        <f t="shared" si="123"/>
        <v>2268.61</v>
      </c>
      <c r="L639" s="9">
        <f t="shared" si="123"/>
        <v>2169.84</v>
      </c>
      <c r="M639" s="9">
        <f t="shared" si="123"/>
        <v>2104.3200000000002</v>
      </c>
      <c r="N639" s="9">
        <f t="shared" si="123"/>
        <v>28649.890000000003</v>
      </c>
    </row>
    <row r="641" spans="1:14" x14ac:dyDescent="0.2">
      <c r="A641" s="16" t="s">
        <v>406</v>
      </c>
    </row>
    <row r="642" spans="1:14" x14ac:dyDescent="0.2">
      <c r="A642" s="17" t="s">
        <v>407</v>
      </c>
      <c r="B642" s="10">
        <v>269.88</v>
      </c>
      <c r="C642" s="10">
        <v>262.67</v>
      </c>
      <c r="D642" s="10">
        <v>394.01</v>
      </c>
      <c r="E642" s="10">
        <v>287.95</v>
      </c>
      <c r="F642" s="10">
        <v>271.64</v>
      </c>
      <c r="G642" s="10">
        <v>221.55</v>
      </c>
      <c r="H642" s="10">
        <v>174.53</v>
      </c>
      <c r="I642" s="10">
        <v>258.31</v>
      </c>
      <c r="J642" s="10">
        <v>192.75</v>
      </c>
      <c r="K642" s="10">
        <v>187.45</v>
      </c>
      <c r="L642" s="10">
        <v>191.82</v>
      </c>
      <c r="M642" s="10">
        <v>189.69</v>
      </c>
      <c r="N642" s="10">
        <f>B642+C642+D642+E642+F642+G642+H642+I642+J642+K642+L642+M642</f>
        <v>2902.25</v>
      </c>
    </row>
    <row r="643" spans="1:14" x14ac:dyDescent="0.2">
      <c r="A643" s="17" t="s">
        <v>408</v>
      </c>
      <c r="B643" s="10">
        <v>13.76</v>
      </c>
      <c r="C643" s="10">
        <v>13.17</v>
      </c>
      <c r="D643" s="10">
        <v>13.27</v>
      </c>
      <c r="E643" s="10">
        <v>13.64</v>
      </c>
      <c r="F643" s="10">
        <v>14.19</v>
      </c>
      <c r="G643" s="10">
        <v>12.94</v>
      </c>
      <c r="H643" s="10">
        <v>10.15</v>
      </c>
      <c r="I643" s="10">
        <v>44</v>
      </c>
      <c r="J643" s="10">
        <v>45.35</v>
      </c>
      <c r="K643" s="10">
        <v>42.91</v>
      </c>
      <c r="L643" s="10">
        <v>43.83</v>
      </c>
      <c r="M643" s="10">
        <v>49.81</v>
      </c>
      <c r="N643" s="10">
        <f>B643+C643+D643+E643+F643+G643+H643+I643+J643+K643+L643+M643</f>
        <v>317.02</v>
      </c>
    </row>
    <row r="644" spans="1:14" x14ac:dyDescent="0.2">
      <c r="A644" s="17" t="s">
        <v>409</v>
      </c>
      <c r="B644" s="10">
        <v>45.8</v>
      </c>
      <c r="C644" s="10">
        <v>46.67</v>
      </c>
      <c r="D644" s="10">
        <v>30.5</v>
      </c>
      <c r="E644" s="10">
        <v>55.2</v>
      </c>
      <c r="F644" s="10">
        <v>41.32</v>
      </c>
      <c r="G644" s="10">
        <v>42.97</v>
      </c>
      <c r="H644" s="10">
        <v>39.03</v>
      </c>
      <c r="I644" s="10">
        <v>27.36</v>
      </c>
      <c r="J644" s="10">
        <v>36.43</v>
      </c>
      <c r="K644" s="10">
        <v>36.82</v>
      </c>
      <c r="L644" s="10">
        <v>35.450000000000003</v>
      </c>
      <c r="M644" s="10">
        <v>47.88</v>
      </c>
      <c r="N644" s="10">
        <f>B644+C644+D644+E644+F644+G644+H644+I644+J644+K644+L644+M644</f>
        <v>485.43</v>
      </c>
    </row>
    <row r="645" spans="1:14" x14ac:dyDescent="0.2">
      <c r="A645" s="17" t="s">
        <v>410</v>
      </c>
      <c r="B645" s="10">
        <v>0</v>
      </c>
      <c r="C645" s="10">
        <v>0</v>
      </c>
      <c r="D645" s="10">
        <v>0</v>
      </c>
      <c r="E645" s="10">
        <v>0</v>
      </c>
      <c r="F645" s="10">
        <v>0</v>
      </c>
      <c r="G645" s="10">
        <v>167.64</v>
      </c>
      <c r="H645" s="10">
        <v>83</v>
      </c>
      <c r="I645" s="10">
        <v>0</v>
      </c>
      <c r="J645" s="10">
        <v>0</v>
      </c>
      <c r="K645" s="10">
        <v>0</v>
      </c>
      <c r="L645" s="10">
        <v>0</v>
      </c>
      <c r="M645" s="10">
        <v>0</v>
      </c>
      <c r="N645" s="10">
        <f>B645+C645+D645+E645+F645+G645+H645+I645+J645+K645+L645+M645</f>
        <v>250.64</v>
      </c>
    </row>
    <row r="646" spans="1:14" x14ac:dyDescent="0.2">
      <c r="A646" s="16" t="s">
        <v>411</v>
      </c>
      <c r="B646" s="9">
        <f t="shared" ref="B646:N646" si="124">SUM(B642:B645)</f>
        <v>329.44</v>
      </c>
      <c r="C646" s="9">
        <f t="shared" si="124"/>
        <v>322.51000000000005</v>
      </c>
      <c r="D646" s="9">
        <f t="shared" si="124"/>
        <v>437.78</v>
      </c>
      <c r="E646" s="9">
        <f t="shared" si="124"/>
        <v>356.78999999999996</v>
      </c>
      <c r="F646" s="9">
        <f t="shared" si="124"/>
        <v>327.14999999999998</v>
      </c>
      <c r="G646" s="9">
        <f t="shared" si="124"/>
        <v>445.1</v>
      </c>
      <c r="H646" s="9">
        <f t="shared" si="124"/>
        <v>306.71000000000004</v>
      </c>
      <c r="I646" s="9">
        <f t="shared" si="124"/>
        <v>329.67</v>
      </c>
      <c r="J646" s="9">
        <f t="shared" si="124"/>
        <v>274.52999999999997</v>
      </c>
      <c r="K646" s="9">
        <f t="shared" si="124"/>
        <v>267.18</v>
      </c>
      <c r="L646" s="9">
        <f t="shared" si="124"/>
        <v>271.09999999999997</v>
      </c>
      <c r="M646" s="9">
        <f t="shared" si="124"/>
        <v>287.38</v>
      </c>
      <c r="N646" s="9">
        <f t="shared" si="124"/>
        <v>3955.3399999999997</v>
      </c>
    </row>
    <row r="647" spans="1:14" ht="4.95" customHeight="1" x14ac:dyDescent="0.2">
      <c r="A647" s="11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</row>
    <row r="648" spans="1:14" ht="4.95" customHeight="1" x14ac:dyDescent="0.2"/>
    <row r="649" spans="1:14" x14ac:dyDescent="0.2">
      <c r="A649" s="16" t="s">
        <v>412</v>
      </c>
      <c r="B649" s="9">
        <f t="shared" ref="B649:N649" si="125">B639+B646</f>
        <v>2779.44</v>
      </c>
      <c r="C649" s="9">
        <f t="shared" si="125"/>
        <v>2837.23</v>
      </c>
      <c r="D649" s="9">
        <f t="shared" si="125"/>
        <v>3221.91</v>
      </c>
      <c r="E649" s="9">
        <f t="shared" si="125"/>
        <v>3142.7599999999998</v>
      </c>
      <c r="F649" s="9">
        <f t="shared" si="125"/>
        <v>3375.08</v>
      </c>
      <c r="G649" s="9">
        <f t="shared" si="125"/>
        <v>2727.87</v>
      </c>
      <c r="H649" s="9">
        <f t="shared" si="125"/>
        <v>2321.16</v>
      </c>
      <c r="I649" s="9">
        <f t="shared" si="125"/>
        <v>2442.4300000000003</v>
      </c>
      <c r="J649" s="9">
        <f t="shared" si="125"/>
        <v>2388.92</v>
      </c>
      <c r="K649" s="9">
        <f t="shared" si="125"/>
        <v>2535.79</v>
      </c>
      <c r="L649" s="9">
        <f t="shared" si="125"/>
        <v>2440.94</v>
      </c>
      <c r="M649" s="9">
        <f t="shared" si="125"/>
        <v>2391.7000000000003</v>
      </c>
      <c r="N649" s="9">
        <f t="shared" si="125"/>
        <v>32605.230000000003</v>
      </c>
    </row>
    <row r="650" spans="1:14" ht="4.95" customHeight="1" x14ac:dyDescent="0.2"/>
    <row r="651" spans="1:14" x14ac:dyDescent="0.2">
      <c r="A651" s="16" t="s">
        <v>112</v>
      </c>
    </row>
    <row r="652" spans="1:14" x14ac:dyDescent="0.2">
      <c r="A652" s="17" t="s">
        <v>413</v>
      </c>
      <c r="B652" s="10">
        <v>0</v>
      </c>
      <c r="C652" s="10">
        <v>0</v>
      </c>
      <c r="D652" s="10">
        <v>0</v>
      </c>
      <c r="E652" s="10">
        <v>0</v>
      </c>
      <c r="F652" s="10">
        <v>0</v>
      </c>
      <c r="G652" s="10">
        <v>7.99</v>
      </c>
      <c r="H652" s="10">
        <v>0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f>B652+C652+D652+E652+F652+G652+H652+I652+J652+K652+L652+M652</f>
        <v>7.99</v>
      </c>
    </row>
    <row r="653" spans="1:14" ht="4.95" customHeight="1" x14ac:dyDescent="0.2">
      <c r="A653" s="11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</row>
    <row r="654" spans="1:14" ht="4.95" customHeight="1" x14ac:dyDescent="0.2"/>
    <row r="655" spans="1:14" x14ac:dyDescent="0.2">
      <c r="A655" s="16" t="s">
        <v>137</v>
      </c>
      <c r="B655" s="9">
        <f t="shared" ref="B655:N655" si="126">B652</f>
        <v>0</v>
      </c>
      <c r="C655" s="9">
        <f t="shared" si="126"/>
        <v>0</v>
      </c>
      <c r="D655" s="9">
        <f t="shared" si="126"/>
        <v>0</v>
      </c>
      <c r="E655" s="9">
        <f t="shared" si="126"/>
        <v>0</v>
      </c>
      <c r="F655" s="9">
        <f t="shared" si="126"/>
        <v>0</v>
      </c>
      <c r="G655" s="9">
        <f t="shared" si="126"/>
        <v>7.99</v>
      </c>
      <c r="H655" s="9">
        <f t="shared" si="126"/>
        <v>0</v>
      </c>
      <c r="I655" s="9">
        <f t="shared" si="126"/>
        <v>0</v>
      </c>
      <c r="J655" s="9">
        <f t="shared" si="126"/>
        <v>0</v>
      </c>
      <c r="K655" s="9">
        <f t="shared" si="126"/>
        <v>0</v>
      </c>
      <c r="L655" s="9">
        <f t="shared" si="126"/>
        <v>0</v>
      </c>
      <c r="M655" s="9">
        <f t="shared" si="126"/>
        <v>0</v>
      </c>
      <c r="N655" s="9">
        <f t="shared" si="126"/>
        <v>7.99</v>
      </c>
    </row>
    <row r="656" spans="1:14" ht="4.95" customHeight="1" x14ac:dyDescent="0.2"/>
    <row r="657" spans="1:14" ht="4.95" customHeight="1" x14ac:dyDescent="0.2"/>
    <row r="658" spans="1:14" x14ac:dyDescent="0.2">
      <c r="A658" s="16" t="s">
        <v>414</v>
      </c>
      <c r="B658" s="9">
        <f t="shared" ref="B658:N658" si="127">B629+B649+B655</f>
        <v>3987.08</v>
      </c>
      <c r="C658" s="9">
        <f t="shared" si="127"/>
        <v>3764.12</v>
      </c>
      <c r="D658" s="9">
        <f t="shared" si="127"/>
        <v>4631.4399999999996</v>
      </c>
      <c r="E658" s="9">
        <f t="shared" si="127"/>
        <v>4570.74</v>
      </c>
      <c r="F658" s="9">
        <f t="shared" si="127"/>
        <v>5284.13</v>
      </c>
      <c r="G658" s="9">
        <f t="shared" si="127"/>
        <v>4013.4699999999993</v>
      </c>
      <c r="H658" s="9">
        <f t="shared" si="127"/>
        <v>3679.6099999999997</v>
      </c>
      <c r="I658" s="9">
        <f t="shared" si="127"/>
        <v>3521.7000000000003</v>
      </c>
      <c r="J658" s="9">
        <f t="shared" si="127"/>
        <v>3239.1800000000003</v>
      </c>
      <c r="K658" s="9">
        <f t="shared" si="127"/>
        <v>3330.36</v>
      </c>
      <c r="L658" s="9">
        <f t="shared" si="127"/>
        <v>3122.79</v>
      </c>
      <c r="M658" s="9">
        <f t="shared" si="127"/>
        <v>3260.5800000000004</v>
      </c>
      <c r="N658" s="9">
        <f t="shared" si="127"/>
        <v>46405.200000000004</v>
      </c>
    </row>
    <row r="659" spans="1:14" ht="4.95" customHeight="1" x14ac:dyDescent="0.2"/>
    <row r="660" spans="1:14" x14ac:dyDescent="0.2">
      <c r="A660" s="7" t="s">
        <v>415</v>
      </c>
      <c r="B660" s="9">
        <f t="shared" ref="B660:N660" si="128">B621-B658</f>
        <v>382.42000000000007</v>
      </c>
      <c r="C660" s="9">
        <f t="shared" si="128"/>
        <v>1223.7799999999997</v>
      </c>
      <c r="D660" s="9">
        <f t="shared" si="128"/>
        <v>2334</v>
      </c>
      <c r="E660" s="9">
        <f t="shared" si="128"/>
        <v>1701.2600000000002</v>
      </c>
      <c r="F660" s="9">
        <f t="shared" si="128"/>
        <v>1077.3199999999997</v>
      </c>
      <c r="G660" s="9">
        <f t="shared" si="128"/>
        <v>646.48000000000047</v>
      </c>
      <c r="H660" s="9">
        <f t="shared" si="128"/>
        <v>1620.3900000000003</v>
      </c>
      <c r="I660" s="9">
        <f t="shared" si="128"/>
        <v>130.29999999999973</v>
      </c>
      <c r="J660" s="9">
        <f t="shared" si="128"/>
        <v>557.76999999999953</v>
      </c>
      <c r="K660" s="9">
        <f t="shared" si="128"/>
        <v>208.63999999999987</v>
      </c>
      <c r="L660" s="9">
        <f t="shared" si="128"/>
        <v>961.69999999999982</v>
      </c>
      <c r="M660" s="9">
        <f t="shared" si="128"/>
        <v>110.91999999999962</v>
      </c>
      <c r="N660" s="9">
        <f t="shared" si="128"/>
        <v>10954.979999999989</v>
      </c>
    </row>
    <row r="661" spans="1:14" ht="4.95" customHeight="1" x14ac:dyDescent="0.2"/>
    <row r="662" spans="1:14" x14ac:dyDescent="0.2">
      <c r="A662" s="16" t="s">
        <v>380</v>
      </c>
    </row>
    <row r="663" spans="1:14" x14ac:dyDescent="0.2">
      <c r="A663" s="16" t="s">
        <v>416</v>
      </c>
    </row>
    <row r="664" spans="1:14" x14ac:dyDescent="0.2">
      <c r="A664" s="17" t="s">
        <v>417</v>
      </c>
      <c r="B664" s="18">
        <v>18</v>
      </c>
      <c r="C664" s="18">
        <v>13</v>
      </c>
      <c r="D664" s="18">
        <v>36</v>
      </c>
      <c r="E664" s="18">
        <v>17</v>
      </c>
      <c r="F664" s="18">
        <v>26</v>
      </c>
      <c r="G664" s="18">
        <v>21</v>
      </c>
      <c r="H664" s="18">
        <v>29</v>
      </c>
      <c r="I664" s="18">
        <v>190</v>
      </c>
      <c r="J664" s="18">
        <v>25</v>
      </c>
      <c r="K664" s="18">
        <v>21</v>
      </c>
      <c r="L664" s="18">
        <v>0</v>
      </c>
      <c r="M664" s="18">
        <v>0</v>
      </c>
      <c r="N664" s="18">
        <f t="shared" ref="N664:N669" si="129">B664+C664+D664+E664+F664+G664+H664+I664+J664+K664+L664+M664</f>
        <v>396</v>
      </c>
    </row>
    <row r="665" spans="1:14" x14ac:dyDescent="0.2">
      <c r="A665" s="17" t="s">
        <v>418</v>
      </c>
      <c r="B665" s="10">
        <v>25.39</v>
      </c>
      <c r="C665" s="10">
        <v>29.69</v>
      </c>
      <c r="D665" s="10">
        <v>25.01</v>
      </c>
      <c r="E665" s="10">
        <v>22.76</v>
      </c>
      <c r="F665" s="10">
        <v>25.1</v>
      </c>
      <c r="G665" s="10">
        <v>26.62</v>
      </c>
      <c r="H665" s="10">
        <v>21.9</v>
      </c>
      <c r="I665" s="10">
        <v>2.56</v>
      </c>
      <c r="J665" s="10">
        <v>30.32</v>
      </c>
      <c r="K665" s="10">
        <v>22.07</v>
      </c>
      <c r="L665" s="10">
        <v>0</v>
      </c>
      <c r="M665" s="10">
        <v>0</v>
      </c>
      <c r="N665" s="10">
        <f t="shared" si="129"/>
        <v>231.42000000000002</v>
      </c>
    </row>
    <row r="666" spans="1:14" x14ac:dyDescent="0.2">
      <c r="A666" s="17" t="s">
        <v>419</v>
      </c>
      <c r="B666" s="18">
        <v>100</v>
      </c>
      <c r="C666" s="18">
        <v>143</v>
      </c>
      <c r="D666" s="18">
        <v>144</v>
      </c>
      <c r="E666" s="18">
        <v>147</v>
      </c>
      <c r="F666" s="18">
        <v>139</v>
      </c>
      <c r="G666" s="18">
        <v>99</v>
      </c>
      <c r="H666" s="18">
        <v>137</v>
      </c>
      <c r="I666" s="18">
        <v>89</v>
      </c>
      <c r="J666" s="18">
        <v>764</v>
      </c>
      <c r="K666" s="18">
        <v>75</v>
      </c>
      <c r="L666" s="18">
        <v>0</v>
      </c>
      <c r="M666" s="18">
        <v>0</v>
      </c>
      <c r="N666" s="18">
        <f t="shared" si="129"/>
        <v>1837</v>
      </c>
    </row>
    <row r="667" spans="1:14" x14ac:dyDescent="0.2">
      <c r="A667" s="17" t="s">
        <v>420</v>
      </c>
      <c r="B667" s="10">
        <v>28.1</v>
      </c>
      <c r="C667" s="10">
        <v>23.85</v>
      </c>
      <c r="D667" s="10">
        <v>28.13</v>
      </c>
      <c r="E667" s="10">
        <v>29.83</v>
      </c>
      <c r="F667" s="10">
        <v>25.29</v>
      </c>
      <c r="G667" s="10">
        <v>26.33</v>
      </c>
      <c r="H667" s="10">
        <v>23.69</v>
      </c>
      <c r="I667" s="10">
        <v>24.39</v>
      </c>
      <c r="J667" s="10">
        <v>2.72</v>
      </c>
      <c r="K667" s="10">
        <v>24.02</v>
      </c>
      <c r="L667" s="10">
        <v>0</v>
      </c>
      <c r="M667" s="10">
        <v>0</v>
      </c>
      <c r="N667" s="10">
        <f t="shared" si="129"/>
        <v>236.34999999999997</v>
      </c>
    </row>
    <row r="668" spans="1:14" x14ac:dyDescent="0.2">
      <c r="A668" s="17" t="s">
        <v>421</v>
      </c>
      <c r="B668" s="18">
        <v>14</v>
      </c>
      <c r="C668" s="18">
        <v>13</v>
      </c>
      <c r="D668" s="18">
        <v>20</v>
      </c>
      <c r="E668" s="18">
        <v>15</v>
      </c>
      <c r="F668" s="18">
        <v>30</v>
      </c>
      <c r="G668" s="18">
        <v>17</v>
      </c>
      <c r="H668" s="18">
        <v>11</v>
      </c>
      <c r="I668" s="18">
        <v>11</v>
      </c>
      <c r="J668" s="18">
        <v>8</v>
      </c>
      <c r="K668" s="18">
        <v>34</v>
      </c>
      <c r="L668" s="18">
        <v>120</v>
      </c>
      <c r="M668" s="18">
        <v>99</v>
      </c>
      <c r="N668" s="18">
        <f t="shared" si="129"/>
        <v>392</v>
      </c>
    </row>
    <row r="669" spans="1:14" x14ac:dyDescent="0.2">
      <c r="A669" s="17" t="s">
        <v>422</v>
      </c>
      <c r="B669" s="10">
        <v>23.79</v>
      </c>
      <c r="C669" s="10">
        <v>21.88</v>
      </c>
      <c r="D669" s="10">
        <v>29.1</v>
      </c>
      <c r="E669" s="10">
        <v>24.5</v>
      </c>
      <c r="F669" s="10">
        <v>38.1</v>
      </c>
      <c r="G669" s="10">
        <v>39.090000000000003</v>
      </c>
      <c r="H669" s="10">
        <v>34.549999999999997</v>
      </c>
      <c r="I669" s="10">
        <v>27.23</v>
      </c>
      <c r="J669" s="10">
        <v>19.62</v>
      </c>
      <c r="K669" s="10">
        <v>23.5</v>
      </c>
      <c r="L669" s="10">
        <v>29.42</v>
      </c>
      <c r="M669" s="10">
        <v>28.73</v>
      </c>
      <c r="N669" s="10">
        <f t="shared" si="129"/>
        <v>339.51</v>
      </c>
    </row>
    <row r="670" spans="1:14" ht="4.95" customHeight="1" x14ac:dyDescent="0.2"/>
    <row r="671" spans="1:14" ht="4.95" customHeight="1" x14ac:dyDescent="0.2"/>
    <row r="672" spans="1:14" ht="4.95" customHeight="1" x14ac:dyDescent="0.2"/>
    <row r="673" spans="1:14" x14ac:dyDescent="0.2">
      <c r="A673" s="16" t="s">
        <v>423</v>
      </c>
    </row>
    <row r="675" spans="1:14" x14ac:dyDescent="0.2">
      <c r="A675" s="16" t="s">
        <v>424</v>
      </c>
    </row>
    <row r="676" spans="1:14" x14ac:dyDescent="0.2">
      <c r="A676" s="17" t="s">
        <v>425</v>
      </c>
      <c r="B676" s="10">
        <v>5677.19</v>
      </c>
      <c r="C676" s="10">
        <v>7974.89</v>
      </c>
      <c r="D676" s="10">
        <v>10626.14</v>
      </c>
      <c r="E676" s="10">
        <v>6126.38</v>
      </c>
      <c r="F676" s="10">
        <v>7567.98</v>
      </c>
      <c r="G676" s="10">
        <v>8074.73</v>
      </c>
      <c r="H676" s="10">
        <v>10546.64</v>
      </c>
      <c r="I676" s="10">
        <v>9114.76</v>
      </c>
      <c r="J676" s="10">
        <v>6388.78</v>
      </c>
      <c r="K676" s="10">
        <v>6978.42</v>
      </c>
      <c r="L676" s="10">
        <v>4647.12</v>
      </c>
      <c r="M676" s="10">
        <v>4737.0600000000004</v>
      </c>
      <c r="N676" s="10">
        <f>B676+C676+D676+E676+F676+G676+H676+I676+J676+K676+L676+M676</f>
        <v>88460.089999999982</v>
      </c>
    </row>
    <row r="677" spans="1:14" ht="4.95" customHeight="1" x14ac:dyDescent="0.2"/>
    <row r="678" spans="1:14" ht="4.95" customHeight="1" x14ac:dyDescent="0.2">
      <c r="A678" s="11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</row>
    <row r="679" spans="1:14" ht="4.95" customHeight="1" x14ac:dyDescent="0.2"/>
    <row r="680" spans="1:14" x14ac:dyDescent="0.2">
      <c r="A680" s="16" t="s">
        <v>426</v>
      </c>
      <c r="B680" s="9">
        <f t="shared" ref="B680:N680" si="130">B676</f>
        <v>5677.19</v>
      </c>
      <c r="C680" s="9">
        <f t="shared" si="130"/>
        <v>7974.89</v>
      </c>
      <c r="D680" s="9">
        <f t="shared" si="130"/>
        <v>10626.14</v>
      </c>
      <c r="E680" s="9">
        <f t="shared" si="130"/>
        <v>6126.38</v>
      </c>
      <c r="F680" s="9">
        <f t="shared" si="130"/>
        <v>7567.98</v>
      </c>
      <c r="G680" s="9">
        <f t="shared" si="130"/>
        <v>8074.73</v>
      </c>
      <c r="H680" s="9">
        <f t="shared" si="130"/>
        <v>10546.64</v>
      </c>
      <c r="I680" s="9">
        <f t="shared" si="130"/>
        <v>9114.76</v>
      </c>
      <c r="J680" s="9">
        <f t="shared" si="130"/>
        <v>6388.78</v>
      </c>
      <c r="K680" s="9">
        <f t="shared" si="130"/>
        <v>6978.42</v>
      </c>
      <c r="L680" s="9">
        <f t="shared" si="130"/>
        <v>4647.12</v>
      </c>
      <c r="M680" s="9">
        <f t="shared" si="130"/>
        <v>4737.0600000000004</v>
      </c>
      <c r="N680" s="9">
        <f t="shared" si="130"/>
        <v>88460.089999999982</v>
      </c>
    </row>
    <row r="682" spans="1:14" x14ac:dyDescent="0.2">
      <c r="A682" s="16" t="s">
        <v>427</v>
      </c>
    </row>
    <row r="683" spans="1:14" x14ac:dyDescent="0.2">
      <c r="A683" s="17" t="s">
        <v>428</v>
      </c>
      <c r="B683" s="10">
        <v>1947.28</v>
      </c>
      <c r="C683" s="10">
        <v>1910.72</v>
      </c>
      <c r="D683" s="10">
        <v>3710.15</v>
      </c>
      <c r="E683" s="10">
        <v>1649.03</v>
      </c>
      <c r="F683" s="10">
        <v>2209.11</v>
      </c>
      <c r="G683" s="10">
        <v>3544.11</v>
      </c>
      <c r="H683" s="10">
        <v>2967.01</v>
      </c>
      <c r="I683" s="10">
        <v>3121.8</v>
      </c>
      <c r="J683" s="10">
        <v>2960.83</v>
      </c>
      <c r="K683" s="10">
        <v>951.05</v>
      </c>
      <c r="L683" s="10">
        <v>2144.08</v>
      </c>
      <c r="M683" s="10">
        <v>1339.41</v>
      </c>
      <c r="N683" s="10">
        <f>B683+C683+D683+E683+F683+G683+H683+I683+J683+K683+L683+M683</f>
        <v>28454.579999999998</v>
      </c>
    </row>
    <row r="684" spans="1:14" x14ac:dyDescent="0.2">
      <c r="A684" s="17" t="s">
        <v>429</v>
      </c>
      <c r="B684" s="10">
        <v>525.62</v>
      </c>
      <c r="C684" s="10">
        <v>555.65</v>
      </c>
      <c r="D684" s="10">
        <v>-624.05999999999995</v>
      </c>
      <c r="E684" s="10">
        <v>-99.46</v>
      </c>
      <c r="F684" s="10">
        <v>-807.09</v>
      </c>
      <c r="G684" s="10">
        <v>64.2</v>
      </c>
      <c r="H684" s="10">
        <v>-155.84</v>
      </c>
      <c r="I684" s="10">
        <v>1465.5</v>
      </c>
      <c r="J684" s="10">
        <v>-779.4</v>
      </c>
      <c r="K684" s="10">
        <v>55.61</v>
      </c>
      <c r="L684" s="10">
        <v>-914</v>
      </c>
      <c r="M684" s="10">
        <v>1243.01</v>
      </c>
      <c r="N684" s="10">
        <f>B684+C684+D684+E684+F684+G684+H684+I684+J684+K684+L684+M684</f>
        <v>529.74</v>
      </c>
    </row>
    <row r="685" spans="1:14" ht="4.95" customHeight="1" x14ac:dyDescent="0.2"/>
    <row r="686" spans="1:14" ht="4.95" customHeight="1" x14ac:dyDescent="0.2">
      <c r="A686" s="11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</row>
    <row r="687" spans="1:14" ht="4.95" customHeight="1" x14ac:dyDescent="0.2"/>
    <row r="688" spans="1:14" x14ac:dyDescent="0.2">
      <c r="A688" s="16" t="s">
        <v>430</v>
      </c>
      <c r="B688" s="9">
        <f t="shared" ref="B688:N688" si="131">SUM(B683:B684)</f>
        <v>2472.9</v>
      </c>
      <c r="C688" s="9">
        <f t="shared" si="131"/>
        <v>2466.37</v>
      </c>
      <c r="D688" s="9">
        <f t="shared" si="131"/>
        <v>3086.09</v>
      </c>
      <c r="E688" s="9">
        <f t="shared" si="131"/>
        <v>1549.57</v>
      </c>
      <c r="F688" s="9">
        <f t="shared" si="131"/>
        <v>1402.02</v>
      </c>
      <c r="G688" s="9">
        <f t="shared" si="131"/>
        <v>3608.31</v>
      </c>
      <c r="H688" s="9">
        <f t="shared" si="131"/>
        <v>2811.17</v>
      </c>
      <c r="I688" s="9">
        <f t="shared" si="131"/>
        <v>4587.3</v>
      </c>
      <c r="J688" s="9">
        <f t="shared" si="131"/>
        <v>2181.4299999999998</v>
      </c>
      <c r="K688" s="9">
        <f t="shared" si="131"/>
        <v>1006.66</v>
      </c>
      <c r="L688" s="9">
        <f t="shared" si="131"/>
        <v>1230.08</v>
      </c>
      <c r="M688" s="9">
        <f t="shared" si="131"/>
        <v>2582.42</v>
      </c>
      <c r="N688" s="9">
        <f t="shared" si="131"/>
        <v>28984.32</v>
      </c>
    </row>
    <row r="689" spans="1:14" ht="4.95" customHeight="1" x14ac:dyDescent="0.2"/>
    <row r="690" spans="1:14" x14ac:dyDescent="0.2">
      <c r="A690" s="16" t="s">
        <v>192</v>
      </c>
      <c r="B690" s="9">
        <f t="shared" ref="B690:N690" si="132">(B680)-(B688)</f>
        <v>3204.2899999999995</v>
      </c>
      <c r="C690" s="9">
        <f t="shared" si="132"/>
        <v>5508.52</v>
      </c>
      <c r="D690" s="9">
        <f t="shared" si="132"/>
        <v>7540.0499999999993</v>
      </c>
      <c r="E690" s="9">
        <f t="shared" si="132"/>
        <v>4576.8100000000004</v>
      </c>
      <c r="F690" s="9">
        <f t="shared" si="132"/>
        <v>6165.9599999999991</v>
      </c>
      <c r="G690" s="9">
        <f t="shared" si="132"/>
        <v>4466.42</v>
      </c>
      <c r="H690" s="9">
        <f t="shared" si="132"/>
        <v>7735.4699999999993</v>
      </c>
      <c r="I690" s="9">
        <f t="shared" si="132"/>
        <v>4527.46</v>
      </c>
      <c r="J690" s="9">
        <f t="shared" si="132"/>
        <v>4207.3500000000004</v>
      </c>
      <c r="K690" s="9">
        <f t="shared" si="132"/>
        <v>5971.76</v>
      </c>
      <c r="L690" s="9">
        <f t="shared" si="132"/>
        <v>3417.04</v>
      </c>
      <c r="M690" s="9">
        <f t="shared" si="132"/>
        <v>2154.6400000000003</v>
      </c>
      <c r="N690" s="9">
        <f t="shared" si="132"/>
        <v>59475.769999999982</v>
      </c>
    </row>
    <row r="692" spans="1:14" ht="4.95" customHeight="1" x14ac:dyDescent="0.2"/>
    <row r="693" spans="1:14" x14ac:dyDescent="0.2">
      <c r="A693" s="16" t="s">
        <v>431</v>
      </c>
      <c r="B693" s="9">
        <f t="shared" ref="B693:N693" si="133">B688</f>
        <v>2472.9</v>
      </c>
      <c r="C693" s="9">
        <f t="shared" si="133"/>
        <v>2466.37</v>
      </c>
      <c r="D693" s="9">
        <f t="shared" si="133"/>
        <v>3086.09</v>
      </c>
      <c r="E693" s="9">
        <f t="shared" si="133"/>
        <v>1549.57</v>
      </c>
      <c r="F693" s="9">
        <f t="shared" si="133"/>
        <v>1402.02</v>
      </c>
      <c r="G693" s="9">
        <f t="shared" si="133"/>
        <v>3608.31</v>
      </c>
      <c r="H693" s="9">
        <f t="shared" si="133"/>
        <v>2811.17</v>
      </c>
      <c r="I693" s="9">
        <f t="shared" si="133"/>
        <v>4587.3</v>
      </c>
      <c r="J693" s="9">
        <f t="shared" si="133"/>
        <v>2181.4299999999998</v>
      </c>
      <c r="K693" s="9">
        <f t="shared" si="133"/>
        <v>1006.66</v>
      </c>
      <c r="L693" s="9">
        <f t="shared" si="133"/>
        <v>1230.08</v>
      </c>
      <c r="M693" s="9">
        <f t="shared" si="133"/>
        <v>2582.42</v>
      </c>
      <c r="N693" s="9">
        <f t="shared" si="133"/>
        <v>28984.32</v>
      </c>
    </row>
    <row r="694" spans="1:14" ht="4.95" customHeight="1" x14ac:dyDescent="0.2"/>
    <row r="695" spans="1:14" x14ac:dyDescent="0.2">
      <c r="A695" s="7" t="s">
        <v>432</v>
      </c>
      <c r="B695" s="9">
        <f t="shared" ref="B695:N695" si="134">B680-B693</f>
        <v>3204.2899999999995</v>
      </c>
      <c r="C695" s="9">
        <f t="shared" si="134"/>
        <v>5508.52</v>
      </c>
      <c r="D695" s="9">
        <f t="shared" si="134"/>
        <v>7540.0499999999993</v>
      </c>
      <c r="E695" s="9">
        <f t="shared" si="134"/>
        <v>4576.8100000000004</v>
      </c>
      <c r="F695" s="9">
        <f t="shared" si="134"/>
        <v>6165.9599999999991</v>
      </c>
      <c r="G695" s="9">
        <f t="shared" si="134"/>
        <v>4466.42</v>
      </c>
      <c r="H695" s="9">
        <f t="shared" si="134"/>
        <v>7735.4699999999993</v>
      </c>
      <c r="I695" s="9">
        <f t="shared" si="134"/>
        <v>4527.46</v>
      </c>
      <c r="J695" s="9">
        <f t="shared" si="134"/>
        <v>4207.3500000000004</v>
      </c>
      <c r="K695" s="9">
        <f t="shared" si="134"/>
        <v>5971.76</v>
      </c>
      <c r="L695" s="9">
        <f t="shared" si="134"/>
        <v>3417.04</v>
      </c>
      <c r="M695" s="9">
        <f t="shared" si="134"/>
        <v>2154.6400000000003</v>
      </c>
      <c r="N695" s="9">
        <f t="shared" si="134"/>
        <v>59475.769999999982</v>
      </c>
    </row>
    <row r="696" spans="1:14" ht="4.95" customHeight="1" x14ac:dyDescent="0.2"/>
    <row r="697" spans="1:14" x14ac:dyDescent="0.2">
      <c r="A697" s="16" t="s">
        <v>433</v>
      </c>
    </row>
    <row r="699" spans="1:14" x14ac:dyDescent="0.2">
      <c r="A699" s="16" t="s">
        <v>434</v>
      </c>
    </row>
    <row r="700" spans="1:14" x14ac:dyDescent="0.2">
      <c r="A700" s="17" t="s">
        <v>435</v>
      </c>
      <c r="B700" s="10">
        <v>211</v>
      </c>
      <c r="C700" s="10">
        <v>773.95</v>
      </c>
      <c r="D700" s="10">
        <v>1294.05</v>
      </c>
      <c r="E700" s="10">
        <v>1473.2</v>
      </c>
      <c r="F700" s="10">
        <v>1476.8</v>
      </c>
      <c r="G700" s="10">
        <v>1140</v>
      </c>
      <c r="H700" s="10">
        <v>23</v>
      </c>
      <c r="I700" s="10">
        <v>101.49</v>
      </c>
      <c r="J700" s="10">
        <v>93</v>
      </c>
      <c r="K700" s="10">
        <v>802</v>
      </c>
      <c r="L700" s="10">
        <v>81</v>
      </c>
      <c r="M700" s="10">
        <v>300.24</v>
      </c>
      <c r="N700" s="10">
        <f>B700+C700+D700+E700+F700+G700+H700+I700+J700+K700+L700+M700</f>
        <v>7769.73</v>
      </c>
    </row>
    <row r="701" spans="1:14" x14ac:dyDescent="0.2">
      <c r="A701" s="17" t="s">
        <v>436</v>
      </c>
      <c r="B701" s="10">
        <v>618.92999999999995</v>
      </c>
      <c r="C701" s="10">
        <v>231.51</v>
      </c>
      <c r="D701" s="10">
        <v>511.78</v>
      </c>
      <c r="E701" s="10">
        <v>429.52</v>
      </c>
      <c r="F701" s="10">
        <v>724.87</v>
      </c>
      <c r="G701" s="10">
        <v>425.17</v>
      </c>
      <c r="H701" s="10">
        <v>995.4</v>
      </c>
      <c r="I701" s="10">
        <v>887.22</v>
      </c>
      <c r="J701" s="10">
        <v>168.78</v>
      </c>
      <c r="K701" s="10">
        <v>629.73</v>
      </c>
      <c r="L701" s="10">
        <v>926.2</v>
      </c>
      <c r="M701" s="10">
        <v>591.85</v>
      </c>
      <c r="N701" s="10">
        <f>B701+C701+D701+E701+F701+G701+H701+I701+J701+K701+L701+M701</f>
        <v>7140.96</v>
      </c>
    </row>
    <row r="702" spans="1:14" x14ac:dyDescent="0.2">
      <c r="A702" s="17" t="s">
        <v>437</v>
      </c>
      <c r="B702" s="10">
        <v>74356.990000000005</v>
      </c>
      <c r="C702" s="10">
        <v>111428.33</v>
      </c>
      <c r="D702" s="10">
        <v>141537.22</v>
      </c>
      <c r="E702" s="10">
        <v>98252.43</v>
      </c>
      <c r="F702" s="10">
        <v>135298.21</v>
      </c>
      <c r="G702" s="10">
        <v>126782.24</v>
      </c>
      <c r="H702" s="10">
        <v>152420.01</v>
      </c>
      <c r="I702" s="10">
        <v>139073.95000000001</v>
      </c>
      <c r="J702" s="10">
        <v>104207.85</v>
      </c>
      <c r="K702" s="10">
        <v>103726.35</v>
      </c>
      <c r="L702" s="10">
        <v>58206.86</v>
      </c>
      <c r="M702" s="10">
        <v>79390.990000000005</v>
      </c>
      <c r="N702" s="10">
        <f>B702+C702+D702+E702+F702+G702+H702+I702+J702+K702+L702+M702</f>
        <v>1324681.4300000004</v>
      </c>
    </row>
    <row r="703" spans="1:14" ht="4.95" customHeight="1" x14ac:dyDescent="0.2"/>
    <row r="704" spans="1:14" ht="4.95" customHeight="1" x14ac:dyDescent="0.2">
      <c r="A704" s="11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</row>
    <row r="705" spans="1:14" ht="4.95" customHeight="1" x14ac:dyDescent="0.2"/>
    <row r="706" spans="1:14" x14ac:dyDescent="0.2">
      <c r="A706" s="16" t="s">
        <v>438</v>
      </c>
      <c r="B706" s="9">
        <f t="shared" ref="B706:N706" si="135">SUM(B700:B702)</f>
        <v>75186.92</v>
      </c>
      <c r="C706" s="9">
        <f t="shared" si="135"/>
        <v>112433.79000000001</v>
      </c>
      <c r="D706" s="9">
        <f t="shared" si="135"/>
        <v>143343.04999999999</v>
      </c>
      <c r="E706" s="9">
        <f t="shared" si="135"/>
        <v>100155.15</v>
      </c>
      <c r="F706" s="9">
        <f t="shared" si="135"/>
        <v>137499.88</v>
      </c>
      <c r="G706" s="9">
        <f t="shared" si="135"/>
        <v>128347.41</v>
      </c>
      <c r="H706" s="9">
        <f t="shared" si="135"/>
        <v>153438.41</v>
      </c>
      <c r="I706" s="9">
        <f t="shared" si="135"/>
        <v>140062.66</v>
      </c>
      <c r="J706" s="9">
        <f t="shared" si="135"/>
        <v>104469.63</v>
      </c>
      <c r="K706" s="9">
        <f t="shared" si="135"/>
        <v>105158.08</v>
      </c>
      <c r="L706" s="9">
        <f t="shared" si="135"/>
        <v>59214.06</v>
      </c>
      <c r="M706" s="9">
        <f t="shared" si="135"/>
        <v>80283.08</v>
      </c>
      <c r="N706" s="9">
        <f t="shared" si="135"/>
        <v>1339592.1200000003</v>
      </c>
    </row>
    <row r="708" spans="1:14" x14ac:dyDescent="0.2">
      <c r="A708" s="16" t="s">
        <v>439</v>
      </c>
    </row>
    <row r="709" spans="1:14" x14ac:dyDescent="0.2">
      <c r="A709" s="17" t="s">
        <v>440</v>
      </c>
      <c r="B709" s="10">
        <v>152.75</v>
      </c>
      <c r="C709" s="10">
        <v>336.05</v>
      </c>
      <c r="D709" s="10">
        <v>966.55</v>
      </c>
      <c r="E709" s="10">
        <v>991.38</v>
      </c>
      <c r="F709" s="10">
        <v>1321.57</v>
      </c>
      <c r="G709" s="10">
        <v>360.75</v>
      </c>
      <c r="H709" s="10">
        <v>21.45</v>
      </c>
      <c r="I709" s="10">
        <v>56.55</v>
      </c>
      <c r="J709" s="10">
        <v>74.099999999999994</v>
      </c>
      <c r="K709" s="10">
        <v>557.04999999999995</v>
      </c>
      <c r="L709" s="10">
        <v>92.95</v>
      </c>
      <c r="M709" s="10">
        <v>175.5</v>
      </c>
      <c r="N709" s="10">
        <f>B709+C709+D709+E709+F709+G709+H709+I709+J709+K709+L709+M709</f>
        <v>5106.6500000000005</v>
      </c>
    </row>
    <row r="710" spans="1:14" x14ac:dyDescent="0.2">
      <c r="A710" s="17" t="s">
        <v>441</v>
      </c>
      <c r="B710" s="10">
        <v>565.94000000000005</v>
      </c>
      <c r="C710" s="10">
        <v>210.82</v>
      </c>
      <c r="D710" s="10">
        <v>404.04</v>
      </c>
      <c r="E710" s="10">
        <v>361.52</v>
      </c>
      <c r="F710" s="10">
        <v>1640.79</v>
      </c>
      <c r="G710" s="10">
        <v>465.63</v>
      </c>
      <c r="H710" s="10">
        <v>940.1</v>
      </c>
      <c r="I710" s="10">
        <v>816.07</v>
      </c>
      <c r="J710" s="10">
        <v>107.61</v>
      </c>
      <c r="K710" s="10">
        <v>550.27</v>
      </c>
      <c r="L710" s="10">
        <v>460.58</v>
      </c>
      <c r="M710" s="10">
        <v>470.56</v>
      </c>
      <c r="N710" s="10">
        <f>B710+C710+D710+E710+F710+G710+H710+I710+J710+K710+L710+M710</f>
        <v>6993.9299999999994</v>
      </c>
    </row>
    <row r="711" spans="1:14" x14ac:dyDescent="0.2">
      <c r="A711" s="17" t="s">
        <v>442</v>
      </c>
      <c r="B711" s="10">
        <v>7220.72</v>
      </c>
      <c r="C711" s="10">
        <v>3651.88</v>
      </c>
      <c r="D711" s="10">
        <v>5940.81</v>
      </c>
      <c r="E711" s="10">
        <v>7924.62</v>
      </c>
      <c r="F711" s="10">
        <v>7235.67</v>
      </c>
      <c r="G711" s="10">
        <v>4762.42</v>
      </c>
      <c r="H711" s="10">
        <v>10659.54</v>
      </c>
      <c r="I711" s="10">
        <v>5912.55</v>
      </c>
      <c r="J711" s="10">
        <v>8633.49</v>
      </c>
      <c r="K711" s="10">
        <v>3354.14</v>
      </c>
      <c r="L711" s="10">
        <v>3781.3</v>
      </c>
      <c r="M711" s="10">
        <v>7559.72</v>
      </c>
      <c r="N711" s="10">
        <f>B711+C711+D711+E711+F711+G711+H711+I711+J711+K711+L711+M711</f>
        <v>76636.86</v>
      </c>
    </row>
    <row r="712" spans="1:14" x14ac:dyDescent="0.2">
      <c r="A712" s="17" t="s">
        <v>443</v>
      </c>
      <c r="B712" s="10">
        <v>414.06</v>
      </c>
      <c r="C712" s="10">
        <v>54.13</v>
      </c>
      <c r="D712" s="10">
        <v>54.13</v>
      </c>
      <c r="E712" s="10">
        <v>54.13</v>
      </c>
      <c r="F712" s="10">
        <v>54.13</v>
      </c>
      <c r="G712" s="10">
        <v>54.13</v>
      </c>
      <c r="H712" s="10">
        <v>54.13</v>
      </c>
      <c r="I712" s="10">
        <v>54.13</v>
      </c>
      <c r="J712" s="10">
        <v>54.13</v>
      </c>
      <c r="K712" s="10">
        <v>54.13</v>
      </c>
      <c r="L712" s="10">
        <v>558.09</v>
      </c>
      <c r="M712" s="10">
        <v>-595.42999999999995</v>
      </c>
      <c r="N712" s="10">
        <f>B712+C712+D712+E712+F712+G712+H712+I712+J712+K712+L712+M712</f>
        <v>863.89000000000021</v>
      </c>
    </row>
    <row r="713" spans="1:14" ht="4.95" customHeight="1" x14ac:dyDescent="0.2"/>
    <row r="714" spans="1:14" ht="4.95" customHeight="1" x14ac:dyDescent="0.2">
      <c r="A714" s="11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</row>
    <row r="715" spans="1:14" ht="4.95" customHeight="1" x14ac:dyDescent="0.2"/>
    <row r="716" spans="1:14" x14ac:dyDescent="0.2">
      <c r="A716" s="16" t="s">
        <v>444</v>
      </c>
      <c r="B716" s="9">
        <f t="shared" ref="B716:N716" si="136">SUM(B709:B712)</f>
        <v>8353.4699999999993</v>
      </c>
      <c r="C716" s="9">
        <f t="shared" si="136"/>
        <v>4252.88</v>
      </c>
      <c r="D716" s="9">
        <f t="shared" si="136"/>
        <v>7365.5300000000007</v>
      </c>
      <c r="E716" s="9">
        <f t="shared" si="136"/>
        <v>9331.65</v>
      </c>
      <c r="F716" s="9">
        <f t="shared" si="136"/>
        <v>10252.159999999998</v>
      </c>
      <c r="G716" s="9">
        <f t="shared" si="136"/>
        <v>5642.93</v>
      </c>
      <c r="H716" s="9">
        <f t="shared" si="136"/>
        <v>11675.22</v>
      </c>
      <c r="I716" s="9">
        <f t="shared" si="136"/>
        <v>6839.3</v>
      </c>
      <c r="J716" s="9">
        <f t="shared" si="136"/>
        <v>8869.3299999999981</v>
      </c>
      <c r="K716" s="9">
        <f t="shared" si="136"/>
        <v>4515.59</v>
      </c>
      <c r="L716" s="9">
        <f t="shared" si="136"/>
        <v>4892.92</v>
      </c>
      <c r="M716" s="9">
        <f t="shared" si="136"/>
        <v>7610.35</v>
      </c>
      <c r="N716" s="9">
        <f t="shared" si="136"/>
        <v>89601.33</v>
      </c>
    </row>
    <row r="717" spans="1:14" ht="4.95" customHeight="1" x14ac:dyDescent="0.2"/>
    <row r="719" spans="1:14" x14ac:dyDescent="0.2">
      <c r="A719" s="16" t="s">
        <v>445</v>
      </c>
    </row>
    <row r="720" spans="1:14" x14ac:dyDescent="0.2">
      <c r="A720" s="16" t="s">
        <v>446</v>
      </c>
    </row>
    <row r="721" spans="1:14" x14ac:dyDescent="0.2">
      <c r="A721" s="17" t="s">
        <v>446</v>
      </c>
      <c r="B721" s="10">
        <f t="shared" ref="B721:N721" si="137">B700-B709</f>
        <v>58.25</v>
      </c>
      <c r="C721" s="10">
        <f t="shared" si="137"/>
        <v>437.90000000000003</v>
      </c>
      <c r="D721" s="10">
        <f t="shared" si="137"/>
        <v>327.5</v>
      </c>
      <c r="E721" s="10">
        <f t="shared" si="137"/>
        <v>481.82000000000005</v>
      </c>
      <c r="F721" s="10">
        <f t="shared" si="137"/>
        <v>155.23000000000002</v>
      </c>
      <c r="G721" s="10">
        <f t="shared" si="137"/>
        <v>779.25</v>
      </c>
      <c r="H721" s="10">
        <f t="shared" si="137"/>
        <v>1.5500000000000007</v>
      </c>
      <c r="I721" s="10">
        <f t="shared" si="137"/>
        <v>44.94</v>
      </c>
      <c r="J721" s="10">
        <f t="shared" si="137"/>
        <v>18.900000000000006</v>
      </c>
      <c r="K721" s="10">
        <f t="shared" si="137"/>
        <v>244.95000000000005</v>
      </c>
      <c r="L721" s="10">
        <f t="shared" si="137"/>
        <v>-11.950000000000003</v>
      </c>
      <c r="M721" s="10">
        <f t="shared" si="137"/>
        <v>124.74000000000001</v>
      </c>
      <c r="N721" s="10">
        <f t="shared" si="137"/>
        <v>2663.079999999999</v>
      </c>
    </row>
    <row r="722" spans="1:14" x14ac:dyDescent="0.2">
      <c r="A722" s="16" t="s">
        <v>447</v>
      </c>
    </row>
    <row r="723" spans="1:14" x14ac:dyDescent="0.2">
      <c r="A723" s="17" t="s">
        <v>447</v>
      </c>
      <c r="B723" s="10">
        <f t="shared" ref="B723:N723" si="138">B701-B710</f>
        <v>52.989999999999895</v>
      </c>
      <c r="C723" s="10">
        <f t="shared" si="138"/>
        <v>20.689999999999998</v>
      </c>
      <c r="D723" s="10">
        <f t="shared" si="138"/>
        <v>107.73999999999995</v>
      </c>
      <c r="E723" s="10">
        <f t="shared" si="138"/>
        <v>68</v>
      </c>
      <c r="F723" s="10">
        <f t="shared" si="138"/>
        <v>-915.92</v>
      </c>
      <c r="G723" s="10">
        <f t="shared" si="138"/>
        <v>-40.45999999999998</v>
      </c>
      <c r="H723" s="10">
        <f t="shared" si="138"/>
        <v>55.299999999999955</v>
      </c>
      <c r="I723" s="10">
        <f t="shared" si="138"/>
        <v>71.149999999999977</v>
      </c>
      <c r="J723" s="10">
        <f t="shared" si="138"/>
        <v>61.17</v>
      </c>
      <c r="K723" s="10">
        <f t="shared" si="138"/>
        <v>79.460000000000036</v>
      </c>
      <c r="L723" s="10">
        <f t="shared" si="138"/>
        <v>465.62000000000006</v>
      </c>
      <c r="M723" s="10">
        <f t="shared" si="138"/>
        <v>121.29000000000002</v>
      </c>
      <c r="N723" s="10">
        <f t="shared" si="138"/>
        <v>147.03000000000065</v>
      </c>
    </row>
    <row r="724" spans="1:14" x14ac:dyDescent="0.2">
      <c r="A724" s="16" t="s">
        <v>448</v>
      </c>
    </row>
    <row r="725" spans="1:14" x14ac:dyDescent="0.2">
      <c r="A725" s="17" t="s">
        <v>448</v>
      </c>
      <c r="B725" s="10">
        <f t="shared" ref="B725:N725" si="139">B702-B711</f>
        <v>67136.27</v>
      </c>
      <c r="C725" s="10">
        <f t="shared" si="139"/>
        <v>107776.45</v>
      </c>
      <c r="D725" s="10">
        <f t="shared" si="139"/>
        <v>135596.41</v>
      </c>
      <c r="E725" s="10">
        <f t="shared" si="139"/>
        <v>90327.81</v>
      </c>
      <c r="F725" s="10">
        <f t="shared" si="139"/>
        <v>128062.54</v>
      </c>
      <c r="G725" s="10">
        <f t="shared" si="139"/>
        <v>122019.82</v>
      </c>
      <c r="H725" s="10">
        <f t="shared" si="139"/>
        <v>141760.47</v>
      </c>
      <c r="I725" s="10">
        <f t="shared" si="139"/>
        <v>133161.40000000002</v>
      </c>
      <c r="J725" s="10">
        <f t="shared" si="139"/>
        <v>95574.36</v>
      </c>
      <c r="K725" s="10">
        <f t="shared" si="139"/>
        <v>100372.21</v>
      </c>
      <c r="L725" s="10">
        <f t="shared" si="139"/>
        <v>54425.56</v>
      </c>
      <c r="M725" s="10">
        <f t="shared" si="139"/>
        <v>71831.27</v>
      </c>
      <c r="N725" s="10">
        <f t="shared" si="139"/>
        <v>1248044.5700000003</v>
      </c>
    </row>
    <row r="726" spans="1:14" ht="4.95" customHeight="1" x14ac:dyDescent="0.2">
      <c r="A726" s="11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</row>
    <row r="727" spans="1:14" ht="4.95" customHeight="1" x14ac:dyDescent="0.2"/>
    <row r="728" spans="1:14" x14ac:dyDescent="0.2">
      <c r="A728" s="16" t="s">
        <v>449</v>
      </c>
      <c r="B728" s="9">
        <f t="shared" ref="B728:N728" si="140">B721+B723+B725</f>
        <v>67247.510000000009</v>
      </c>
      <c r="C728" s="9">
        <f t="shared" si="140"/>
        <v>108235.04</v>
      </c>
      <c r="D728" s="9">
        <f t="shared" si="140"/>
        <v>136031.65</v>
      </c>
      <c r="E728" s="9">
        <f t="shared" si="140"/>
        <v>90877.63</v>
      </c>
      <c r="F728" s="9">
        <f t="shared" si="140"/>
        <v>127301.84999999999</v>
      </c>
      <c r="G728" s="9">
        <f t="shared" si="140"/>
        <v>122758.61</v>
      </c>
      <c r="H728" s="9">
        <f t="shared" si="140"/>
        <v>141817.32</v>
      </c>
      <c r="I728" s="9">
        <f t="shared" si="140"/>
        <v>133277.49000000002</v>
      </c>
      <c r="J728" s="9">
        <f t="shared" si="140"/>
        <v>95654.430000000008</v>
      </c>
      <c r="K728" s="9">
        <f t="shared" si="140"/>
        <v>100696.62000000001</v>
      </c>
      <c r="L728" s="9">
        <f t="shared" si="140"/>
        <v>54879.229999999996</v>
      </c>
      <c r="M728" s="9">
        <f t="shared" si="140"/>
        <v>72077.3</v>
      </c>
      <c r="N728" s="9">
        <f t="shared" si="140"/>
        <v>1250854.6800000004</v>
      </c>
    </row>
    <row r="729" spans="1:14" ht="4.95" customHeight="1" x14ac:dyDescent="0.2"/>
    <row r="730" spans="1:14" ht="4.95" customHeight="1" x14ac:dyDescent="0.2"/>
    <row r="731" spans="1:14" x14ac:dyDescent="0.2">
      <c r="A731" s="16" t="s">
        <v>28</v>
      </c>
    </row>
    <row r="733" spans="1:14" x14ac:dyDescent="0.2">
      <c r="A733" s="16" t="s">
        <v>450</v>
      </c>
    </row>
    <row r="734" spans="1:14" x14ac:dyDescent="0.2">
      <c r="A734" s="17" t="s">
        <v>451</v>
      </c>
      <c r="B734" s="10">
        <v>124.02</v>
      </c>
      <c r="C734" s="10">
        <v>215.1</v>
      </c>
      <c r="D734" s="10">
        <v>74.45</v>
      </c>
      <c r="E734" s="10">
        <v>110.31</v>
      </c>
      <c r="F734" s="10">
        <v>324.57</v>
      </c>
      <c r="G734" s="10">
        <v>1438.78</v>
      </c>
      <c r="H734" s="10">
        <v>1659.34</v>
      </c>
      <c r="I734" s="10">
        <v>155.87</v>
      </c>
      <c r="J734" s="10">
        <v>72.48</v>
      </c>
      <c r="K734" s="10">
        <v>1117.96</v>
      </c>
      <c r="L734" s="10">
        <v>-661.3</v>
      </c>
      <c r="M734" s="10">
        <v>6736.82</v>
      </c>
      <c r="N734" s="10">
        <f t="shared" ref="N734:N741" si="141">B734+C734+D734+E734+F734+G734+H734+I734+J734+K734+L734+M734</f>
        <v>11368.399999999998</v>
      </c>
    </row>
    <row r="735" spans="1:14" x14ac:dyDescent="0.2">
      <c r="A735" s="17" t="s">
        <v>452</v>
      </c>
      <c r="B735" s="10">
        <v>0</v>
      </c>
      <c r="C735" s="10">
        <v>0</v>
      </c>
      <c r="D735" s="10">
        <v>7332.93</v>
      </c>
      <c r="E735" s="10">
        <v>0</v>
      </c>
      <c r="F735" s="10">
        <v>0</v>
      </c>
      <c r="G735" s="10">
        <v>0</v>
      </c>
      <c r="H735" s="10">
        <v>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f t="shared" si="141"/>
        <v>7332.93</v>
      </c>
    </row>
    <row r="736" spans="1:14" x14ac:dyDescent="0.2">
      <c r="A736" s="17" t="s">
        <v>453</v>
      </c>
      <c r="B736" s="10">
        <v>0</v>
      </c>
      <c r="C736" s="10">
        <v>0</v>
      </c>
      <c r="D736" s="10">
        <v>0</v>
      </c>
      <c r="E736" s="10">
        <v>0</v>
      </c>
      <c r="F736" s="10">
        <v>0</v>
      </c>
      <c r="G736" s="10">
        <v>0</v>
      </c>
      <c r="H736" s="10">
        <v>0</v>
      </c>
      <c r="I736" s="10">
        <v>0</v>
      </c>
      <c r="J736" s="10">
        <v>0</v>
      </c>
      <c r="K736" s="10">
        <v>0</v>
      </c>
      <c r="L736" s="10">
        <v>-150</v>
      </c>
      <c r="M736" s="10">
        <v>0</v>
      </c>
      <c r="N736" s="10">
        <f t="shared" si="141"/>
        <v>-150</v>
      </c>
    </row>
    <row r="737" spans="1:14" x14ac:dyDescent="0.2">
      <c r="A737" s="17" t="s">
        <v>454</v>
      </c>
      <c r="B737" s="10">
        <v>1300</v>
      </c>
      <c r="C737" s="10">
        <v>1300</v>
      </c>
      <c r="D737" s="10">
        <v>825</v>
      </c>
      <c r="E737" s="10">
        <v>525</v>
      </c>
      <c r="F737" s="10">
        <v>750</v>
      </c>
      <c r="G737" s="10">
        <v>300</v>
      </c>
      <c r="H737" s="10">
        <v>600</v>
      </c>
      <c r="I737" s="10">
        <v>375</v>
      </c>
      <c r="J737" s="10">
        <v>710.49</v>
      </c>
      <c r="K737" s="10">
        <v>375</v>
      </c>
      <c r="L737" s="10">
        <v>363.58</v>
      </c>
      <c r="M737" s="10">
        <v>600</v>
      </c>
      <c r="N737" s="10">
        <f t="shared" si="141"/>
        <v>8024.07</v>
      </c>
    </row>
    <row r="738" spans="1:14" x14ac:dyDescent="0.2">
      <c r="A738" s="17" t="s">
        <v>455</v>
      </c>
      <c r="B738" s="10">
        <v>0</v>
      </c>
      <c r="C738" s="10">
        <v>0</v>
      </c>
      <c r="D738" s="10">
        <v>1395.5</v>
      </c>
      <c r="E738" s="10">
        <v>1192.1300000000001</v>
      </c>
      <c r="F738" s="10">
        <v>0</v>
      </c>
      <c r="G738" s="10">
        <v>0</v>
      </c>
      <c r="H738" s="10">
        <v>500</v>
      </c>
      <c r="I738" s="10">
        <v>0</v>
      </c>
      <c r="J738" s="10">
        <v>232.85</v>
      </c>
      <c r="K738" s="10">
        <v>0</v>
      </c>
      <c r="L738" s="10">
        <v>250</v>
      </c>
      <c r="M738" s="10">
        <v>0</v>
      </c>
      <c r="N738" s="10">
        <f t="shared" si="141"/>
        <v>3570.48</v>
      </c>
    </row>
    <row r="739" spans="1:14" x14ac:dyDescent="0.2">
      <c r="A739" s="17" t="s">
        <v>456</v>
      </c>
      <c r="B739" s="10">
        <v>188.1</v>
      </c>
      <c r="C739" s="10">
        <v>425.7</v>
      </c>
      <c r="D739" s="10">
        <v>435.6</v>
      </c>
      <c r="E739" s="10">
        <v>262.35000000000002</v>
      </c>
      <c r="F739" s="10">
        <v>356.4</v>
      </c>
      <c r="G739" s="10">
        <v>257.39999999999998</v>
      </c>
      <c r="H739" s="10">
        <v>272.35000000000002</v>
      </c>
      <c r="I739" s="10">
        <v>252.45</v>
      </c>
      <c r="J739" s="10">
        <v>326.7</v>
      </c>
      <c r="K739" s="10">
        <v>119.07</v>
      </c>
      <c r="L739" s="10">
        <v>257.39999999999998</v>
      </c>
      <c r="M739" s="10">
        <v>198</v>
      </c>
      <c r="N739" s="10">
        <f t="shared" si="141"/>
        <v>3351.52</v>
      </c>
    </row>
    <row r="740" spans="1:14" x14ac:dyDescent="0.2">
      <c r="A740" s="17" t="s">
        <v>457</v>
      </c>
      <c r="B740" s="10">
        <v>78.099999999999994</v>
      </c>
      <c r="C740" s="10">
        <v>97.18</v>
      </c>
      <c r="D740" s="10">
        <v>150.54</v>
      </c>
      <c r="E740" s="10">
        <v>160.02000000000001</v>
      </c>
      <c r="F740" s="10">
        <v>103.67</v>
      </c>
      <c r="G740" s="10">
        <v>260.74</v>
      </c>
      <c r="H740" s="10">
        <v>298.20999999999998</v>
      </c>
      <c r="I740" s="10">
        <v>262.11</v>
      </c>
      <c r="J740" s="10">
        <v>182.04</v>
      </c>
      <c r="K740" s="10">
        <v>145.6</v>
      </c>
      <c r="L740" s="10">
        <v>65.5</v>
      </c>
      <c r="M740" s="10">
        <v>51.44</v>
      </c>
      <c r="N740" s="10">
        <f t="shared" si="141"/>
        <v>1855.15</v>
      </c>
    </row>
    <row r="741" spans="1:14" x14ac:dyDescent="0.2">
      <c r="A741" s="17" t="s">
        <v>458</v>
      </c>
      <c r="B741" s="10">
        <v>-780.9</v>
      </c>
      <c r="C741" s="10">
        <v>-1600.36</v>
      </c>
      <c r="D741" s="10">
        <v>-1834.73</v>
      </c>
      <c r="E741" s="10">
        <v>-1194.19</v>
      </c>
      <c r="F741" s="10">
        <v>-1387.06</v>
      </c>
      <c r="G741" s="10">
        <v>95.23</v>
      </c>
      <c r="H741" s="10">
        <v>0</v>
      </c>
      <c r="I741" s="10">
        <v>233.26</v>
      </c>
      <c r="J741" s="10">
        <v>-1183.23</v>
      </c>
      <c r="K741" s="10">
        <v>-1299.72</v>
      </c>
      <c r="L741" s="10">
        <v>-762.1</v>
      </c>
      <c r="M741" s="10">
        <v>231.72</v>
      </c>
      <c r="N741" s="10">
        <f t="shared" si="141"/>
        <v>-9482.08</v>
      </c>
    </row>
    <row r="742" spans="1:14" ht="4.95" customHeight="1" x14ac:dyDescent="0.2"/>
    <row r="743" spans="1:14" ht="4.95" customHeight="1" x14ac:dyDescent="0.2">
      <c r="A743" s="11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</row>
    <row r="744" spans="1:14" ht="4.95" customHeight="1" x14ac:dyDescent="0.2"/>
    <row r="745" spans="1:14" x14ac:dyDescent="0.2">
      <c r="A745" s="16" t="s">
        <v>459</v>
      </c>
      <c r="B745" s="9">
        <f t="shared" ref="B745:N745" si="142">SUM(B734:B741)</f>
        <v>909.31999999999982</v>
      </c>
      <c r="C745" s="9">
        <f t="shared" si="142"/>
        <v>437.62000000000012</v>
      </c>
      <c r="D745" s="9">
        <f t="shared" si="142"/>
        <v>8379.2900000000027</v>
      </c>
      <c r="E745" s="9">
        <f t="shared" si="142"/>
        <v>1055.6199999999999</v>
      </c>
      <c r="F745" s="9">
        <f t="shared" si="142"/>
        <v>147.57999999999993</v>
      </c>
      <c r="G745" s="9">
        <f t="shared" si="142"/>
        <v>2352.15</v>
      </c>
      <c r="H745" s="9">
        <f t="shared" si="142"/>
        <v>3329.9</v>
      </c>
      <c r="I745" s="9">
        <f t="shared" si="142"/>
        <v>1278.6899999999998</v>
      </c>
      <c r="J745" s="9">
        <f t="shared" si="142"/>
        <v>341.32999999999993</v>
      </c>
      <c r="K745" s="9">
        <f t="shared" si="142"/>
        <v>457.90999999999985</v>
      </c>
      <c r="L745" s="9">
        <f t="shared" si="142"/>
        <v>-636.92000000000007</v>
      </c>
      <c r="M745" s="9">
        <f t="shared" si="142"/>
        <v>7817.98</v>
      </c>
      <c r="N745" s="9">
        <f t="shared" si="142"/>
        <v>25870.469999999994</v>
      </c>
    </row>
    <row r="746" spans="1:14" ht="4.95" customHeight="1" x14ac:dyDescent="0.2"/>
    <row r="747" spans="1:14" ht="4.95" customHeight="1" x14ac:dyDescent="0.2">
      <c r="A747" s="11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</row>
    <row r="748" spans="1:14" ht="4.95" customHeight="1" x14ac:dyDescent="0.2"/>
    <row r="749" spans="1:14" ht="4.95" customHeight="1" x14ac:dyDescent="0.2"/>
    <row r="750" spans="1:14" x14ac:dyDescent="0.2">
      <c r="A750" s="16" t="s">
        <v>29</v>
      </c>
      <c r="B750" s="9">
        <f t="shared" ref="B750:N750" si="143">B121+B276+B364+B465+B541+B621+B680+B706+B745</f>
        <v>935050.6399999999</v>
      </c>
      <c r="C750" s="9">
        <f t="shared" si="143"/>
        <v>1537802</v>
      </c>
      <c r="D750" s="9">
        <f t="shared" si="143"/>
        <v>1813708.58</v>
      </c>
      <c r="E750" s="9">
        <f t="shared" si="143"/>
        <v>1520046.04</v>
      </c>
      <c r="F750" s="9">
        <f t="shared" si="143"/>
        <v>1400090.54</v>
      </c>
      <c r="G750" s="9">
        <f t="shared" si="143"/>
        <v>1210324.6499999997</v>
      </c>
      <c r="H750" s="9">
        <f t="shared" si="143"/>
        <v>1068097.96</v>
      </c>
      <c r="I750" s="9">
        <f t="shared" si="143"/>
        <v>1130523.77</v>
      </c>
      <c r="J750" s="9">
        <f t="shared" si="143"/>
        <v>1210714.4300000002</v>
      </c>
      <c r="K750" s="9">
        <f t="shared" si="143"/>
        <v>1441799.99</v>
      </c>
      <c r="L750" s="9">
        <f t="shared" si="143"/>
        <v>1389384.57</v>
      </c>
      <c r="M750" s="9">
        <f t="shared" si="143"/>
        <v>902631.3</v>
      </c>
      <c r="N750" s="9">
        <f t="shared" si="143"/>
        <v>15560174.470000003</v>
      </c>
    </row>
    <row r="751" spans="1:14" ht="4.95" customHeight="1" x14ac:dyDescent="0.2"/>
    <row r="752" spans="1:14" x14ac:dyDescent="0.2">
      <c r="A752" s="16" t="s">
        <v>34</v>
      </c>
    </row>
    <row r="754" spans="1:14" x14ac:dyDescent="0.2">
      <c r="A754" s="16" t="s">
        <v>460</v>
      </c>
    </row>
    <row r="755" spans="1:14" x14ac:dyDescent="0.2">
      <c r="A755" s="16" t="s">
        <v>461</v>
      </c>
    </row>
    <row r="757" spans="1:14" x14ac:dyDescent="0.2">
      <c r="A757" s="16" t="s">
        <v>462</v>
      </c>
    </row>
    <row r="758" spans="1:14" x14ac:dyDescent="0.2">
      <c r="A758" s="16" t="s">
        <v>463</v>
      </c>
    </row>
    <row r="759" spans="1:14" x14ac:dyDescent="0.2">
      <c r="A759" s="17" t="s">
        <v>464</v>
      </c>
      <c r="B759" s="10">
        <v>12313.6</v>
      </c>
      <c r="C759" s="10">
        <v>12313.6</v>
      </c>
      <c r="D759" s="10">
        <v>12894.88</v>
      </c>
      <c r="E759" s="10">
        <v>13510.56</v>
      </c>
      <c r="F759" s="10">
        <v>12867.2</v>
      </c>
      <c r="G759" s="10">
        <v>11017.54</v>
      </c>
      <c r="H759" s="10">
        <v>14896.22</v>
      </c>
      <c r="I759" s="10">
        <v>14249.6</v>
      </c>
      <c r="J759" s="10">
        <v>11212.15</v>
      </c>
      <c r="K759" s="10">
        <v>14247.21</v>
      </c>
      <c r="L759" s="10">
        <v>13139.82</v>
      </c>
      <c r="M759" s="10">
        <v>10705.25</v>
      </c>
      <c r="N759" s="10">
        <f>B759+C759+D759+E759+F759+G759+H759+I759+J759+K759+L759+M759</f>
        <v>153367.63</v>
      </c>
    </row>
    <row r="760" spans="1:14" x14ac:dyDescent="0.2">
      <c r="A760" s="17" t="s">
        <v>465</v>
      </c>
      <c r="B760" s="10">
        <v>8883.84</v>
      </c>
      <c r="C760" s="10">
        <v>8460.7999999999993</v>
      </c>
      <c r="D760" s="10">
        <v>8638.8799999999992</v>
      </c>
      <c r="E760" s="10">
        <v>9493.44</v>
      </c>
      <c r="F760" s="10">
        <v>9493.44</v>
      </c>
      <c r="G760" s="10">
        <v>5663.7</v>
      </c>
      <c r="H760" s="10">
        <v>9991.34</v>
      </c>
      <c r="I760" s="10">
        <v>9557.59</v>
      </c>
      <c r="J760" s="10">
        <v>8814.8799999999992</v>
      </c>
      <c r="K760" s="10">
        <v>9556.01</v>
      </c>
      <c r="L760" s="10">
        <v>9244.7800000000007</v>
      </c>
      <c r="M760" s="10">
        <v>9122.8700000000008</v>
      </c>
      <c r="N760" s="10">
        <f>B760+C760+D760+E760+F760+G760+H760+I760+J760+K760+L760+M760</f>
        <v>106921.56999999999</v>
      </c>
    </row>
    <row r="761" spans="1:14" x14ac:dyDescent="0.2">
      <c r="A761" s="16" t="s">
        <v>466</v>
      </c>
      <c r="B761" s="9">
        <f t="shared" ref="B761:N761" si="144">SUM(B759:B760)</f>
        <v>21197.440000000002</v>
      </c>
      <c r="C761" s="9">
        <f t="shared" si="144"/>
        <v>20774.400000000001</v>
      </c>
      <c r="D761" s="9">
        <f t="shared" si="144"/>
        <v>21533.759999999998</v>
      </c>
      <c r="E761" s="9">
        <f t="shared" si="144"/>
        <v>23004</v>
      </c>
      <c r="F761" s="9">
        <f t="shared" si="144"/>
        <v>22360.639999999999</v>
      </c>
      <c r="G761" s="9">
        <f t="shared" si="144"/>
        <v>16681.240000000002</v>
      </c>
      <c r="H761" s="9">
        <f t="shared" si="144"/>
        <v>24887.559999999998</v>
      </c>
      <c r="I761" s="9">
        <f t="shared" si="144"/>
        <v>23807.190000000002</v>
      </c>
      <c r="J761" s="9">
        <f t="shared" si="144"/>
        <v>20027.03</v>
      </c>
      <c r="K761" s="9">
        <f t="shared" si="144"/>
        <v>23803.22</v>
      </c>
      <c r="L761" s="9">
        <f t="shared" si="144"/>
        <v>22384.6</v>
      </c>
      <c r="M761" s="9">
        <f t="shared" si="144"/>
        <v>19828.120000000003</v>
      </c>
      <c r="N761" s="9">
        <f t="shared" si="144"/>
        <v>260289.2</v>
      </c>
    </row>
    <row r="763" spans="1:14" x14ac:dyDescent="0.2">
      <c r="A763" s="16" t="s">
        <v>467</v>
      </c>
    </row>
    <row r="764" spans="1:14" x14ac:dyDescent="0.2">
      <c r="A764" s="17" t="s">
        <v>468</v>
      </c>
      <c r="B764" s="10">
        <v>7284.06</v>
      </c>
      <c r="C764" s="10">
        <v>7261.29</v>
      </c>
      <c r="D764" s="10">
        <v>7882.84</v>
      </c>
      <c r="E764" s="10">
        <v>7973.96</v>
      </c>
      <c r="F764" s="10">
        <v>8582.7099999999991</v>
      </c>
      <c r="G764" s="10">
        <v>6597.44</v>
      </c>
      <c r="H764" s="10">
        <v>8064.34</v>
      </c>
      <c r="I764" s="10">
        <v>6971.76</v>
      </c>
      <c r="J764" s="10">
        <v>6827.64</v>
      </c>
      <c r="K764" s="10">
        <v>8218.68</v>
      </c>
      <c r="L764" s="10">
        <v>7972.7</v>
      </c>
      <c r="M764" s="10">
        <v>7283.15</v>
      </c>
      <c r="N764" s="10">
        <f>B764+C764+D764+E764+F764+G764+H764+I764+J764+K764+L764+M764</f>
        <v>90920.569999999992</v>
      </c>
    </row>
    <row r="765" spans="1:14" x14ac:dyDescent="0.2">
      <c r="A765" s="17" t="s">
        <v>469</v>
      </c>
      <c r="B765" s="10">
        <v>6461.28</v>
      </c>
      <c r="C765" s="10">
        <v>5845.92</v>
      </c>
      <c r="D765" s="10">
        <v>5374.56</v>
      </c>
      <c r="E765" s="10">
        <v>6313.6</v>
      </c>
      <c r="F765" s="10">
        <v>6629.28</v>
      </c>
      <c r="G765" s="10">
        <v>5721.7</v>
      </c>
      <c r="H765" s="10">
        <v>6677.86</v>
      </c>
      <c r="I765" s="10">
        <v>6044.83</v>
      </c>
      <c r="J765" s="10">
        <v>5817.2</v>
      </c>
      <c r="K765" s="10">
        <v>6359.37</v>
      </c>
      <c r="L765" s="10">
        <v>5816.01</v>
      </c>
      <c r="M765" s="10">
        <v>6673.87</v>
      </c>
      <c r="N765" s="10">
        <f>B765+C765+D765+E765+F765+G765+H765+I765+J765+K765+L765+M765</f>
        <v>73735.48</v>
      </c>
    </row>
    <row r="766" spans="1:14" x14ac:dyDescent="0.2">
      <c r="A766" s="17" t="s">
        <v>470</v>
      </c>
      <c r="B766" s="10">
        <v>4916.01</v>
      </c>
      <c r="C766" s="10">
        <v>4583.9399999999996</v>
      </c>
      <c r="D766" s="10">
        <v>4182.76</v>
      </c>
      <c r="E766" s="10">
        <v>3568.15</v>
      </c>
      <c r="F766" s="10">
        <v>4281.8100000000004</v>
      </c>
      <c r="G766" s="10">
        <v>2904.95</v>
      </c>
      <c r="H766" s="10">
        <v>5195.21</v>
      </c>
      <c r="I766" s="10">
        <v>4967.82</v>
      </c>
      <c r="J766" s="10">
        <v>4833.18</v>
      </c>
      <c r="K766" s="10">
        <v>5082.82</v>
      </c>
      <c r="L766" s="10">
        <v>4411.3999999999996</v>
      </c>
      <c r="M766" s="10">
        <v>4037.16</v>
      </c>
      <c r="N766" s="10">
        <f>B766+C766+D766+E766+F766+G766+H766+I766+J766+K766+L766+M766</f>
        <v>52965.210000000006</v>
      </c>
    </row>
    <row r="767" spans="1:14" x14ac:dyDescent="0.2">
      <c r="A767" s="16" t="s">
        <v>471</v>
      </c>
      <c r="B767" s="9">
        <f t="shared" ref="B767:N767" si="145">SUM(B764:B766)</f>
        <v>18661.349999999999</v>
      </c>
      <c r="C767" s="9">
        <f t="shared" si="145"/>
        <v>17691.149999999998</v>
      </c>
      <c r="D767" s="9">
        <f t="shared" si="145"/>
        <v>17440.160000000003</v>
      </c>
      <c r="E767" s="9">
        <f t="shared" si="145"/>
        <v>17855.710000000003</v>
      </c>
      <c r="F767" s="9">
        <f t="shared" si="145"/>
        <v>19493.8</v>
      </c>
      <c r="G767" s="9">
        <f t="shared" si="145"/>
        <v>15224.09</v>
      </c>
      <c r="H767" s="9">
        <f t="shared" si="145"/>
        <v>19937.41</v>
      </c>
      <c r="I767" s="9">
        <f t="shared" si="145"/>
        <v>17984.41</v>
      </c>
      <c r="J767" s="9">
        <f t="shared" si="145"/>
        <v>17478.02</v>
      </c>
      <c r="K767" s="9">
        <f t="shared" si="145"/>
        <v>19660.87</v>
      </c>
      <c r="L767" s="9">
        <f t="shared" si="145"/>
        <v>18200.11</v>
      </c>
      <c r="M767" s="9">
        <f t="shared" si="145"/>
        <v>17994.18</v>
      </c>
      <c r="N767" s="9">
        <f t="shared" si="145"/>
        <v>217621.26</v>
      </c>
    </row>
    <row r="768" spans="1:14" x14ac:dyDescent="0.2">
      <c r="A768" s="16" t="s">
        <v>472</v>
      </c>
      <c r="B768" s="9">
        <f t="shared" ref="B768:N768" si="146">B761+B767</f>
        <v>39858.79</v>
      </c>
      <c r="C768" s="9">
        <f t="shared" si="146"/>
        <v>38465.550000000003</v>
      </c>
      <c r="D768" s="9">
        <f t="shared" si="146"/>
        <v>38973.919999999998</v>
      </c>
      <c r="E768" s="9">
        <f t="shared" si="146"/>
        <v>40859.710000000006</v>
      </c>
      <c r="F768" s="9">
        <f t="shared" si="146"/>
        <v>41854.44</v>
      </c>
      <c r="G768" s="9">
        <f t="shared" si="146"/>
        <v>31905.33</v>
      </c>
      <c r="H768" s="9">
        <f t="shared" si="146"/>
        <v>44824.97</v>
      </c>
      <c r="I768" s="9">
        <f t="shared" si="146"/>
        <v>41791.600000000006</v>
      </c>
      <c r="J768" s="9">
        <f t="shared" si="146"/>
        <v>37505.050000000003</v>
      </c>
      <c r="K768" s="9">
        <f t="shared" si="146"/>
        <v>43464.09</v>
      </c>
      <c r="L768" s="9">
        <f t="shared" si="146"/>
        <v>40584.71</v>
      </c>
      <c r="M768" s="9">
        <f t="shared" si="146"/>
        <v>37822.300000000003</v>
      </c>
      <c r="N768" s="9">
        <f t="shared" si="146"/>
        <v>477910.46</v>
      </c>
    </row>
    <row r="770" spans="1:14" x14ac:dyDescent="0.2">
      <c r="A770" s="16" t="s">
        <v>473</v>
      </c>
    </row>
    <row r="771" spans="1:14" x14ac:dyDescent="0.2">
      <c r="A771" s="17" t="s">
        <v>474</v>
      </c>
      <c r="B771" s="10">
        <v>0</v>
      </c>
      <c r="C771" s="10">
        <v>0</v>
      </c>
      <c r="D771" s="10">
        <v>0</v>
      </c>
      <c r="E771" s="10">
        <v>44256.62</v>
      </c>
      <c r="F771" s="10">
        <v>0</v>
      </c>
      <c r="G771" s="10">
        <v>0</v>
      </c>
      <c r="H771" s="10">
        <v>0</v>
      </c>
      <c r="I771" s="10">
        <v>0</v>
      </c>
      <c r="J771" s="10">
        <v>8433.31</v>
      </c>
      <c r="K771" s="10">
        <v>0</v>
      </c>
      <c r="L771" s="10">
        <v>0</v>
      </c>
      <c r="M771" s="10">
        <v>0</v>
      </c>
      <c r="N771" s="10">
        <f t="shared" ref="N771:N778" si="147">B771+C771+D771+E771+F771+G771+H771+I771+J771+K771+L771+M771</f>
        <v>52689.93</v>
      </c>
    </row>
    <row r="772" spans="1:14" x14ac:dyDescent="0.2">
      <c r="A772" s="17" t="s">
        <v>475</v>
      </c>
      <c r="B772" s="10">
        <v>4390.79</v>
      </c>
      <c r="C772" s="10">
        <v>4017.89</v>
      </c>
      <c r="D772" s="10">
        <v>5515.62</v>
      </c>
      <c r="E772" s="10">
        <v>4223.17</v>
      </c>
      <c r="F772" s="10">
        <v>3730.2</v>
      </c>
      <c r="G772" s="10">
        <v>3096.53</v>
      </c>
      <c r="H772" s="10">
        <v>3883.65</v>
      </c>
      <c r="I772" s="10">
        <v>5109.45</v>
      </c>
      <c r="J772" s="10">
        <v>3418.99</v>
      </c>
      <c r="K772" s="10">
        <v>3591.29</v>
      </c>
      <c r="L772" s="10">
        <v>3587.78</v>
      </c>
      <c r="M772" s="10">
        <v>3438.56</v>
      </c>
      <c r="N772" s="10">
        <f t="shared" si="147"/>
        <v>48003.92</v>
      </c>
    </row>
    <row r="773" spans="1:14" x14ac:dyDescent="0.2">
      <c r="A773" s="17" t="s">
        <v>476</v>
      </c>
      <c r="B773" s="10">
        <v>223.81</v>
      </c>
      <c r="C773" s="10">
        <v>201.5</v>
      </c>
      <c r="D773" s="10">
        <v>185.78</v>
      </c>
      <c r="E773" s="10">
        <v>199.99</v>
      </c>
      <c r="F773" s="10">
        <v>194.88</v>
      </c>
      <c r="G773" s="10">
        <v>180.87</v>
      </c>
      <c r="H773" s="10">
        <v>225.89</v>
      </c>
      <c r="I773" s="10">
        <v>870.41</v>
      </c>
      <c r="J773" s="10">
        <v>804.5</v>
      </c>
      <c r="K773" s="10">
        <v>822.09</v>
      </c>
      <c r="L773" s="10">
        <v>819.88</v>
      </c>
      <c r="M773" s="10">
        <v>902.91</v>
      </c>
      <c r="N773" s="10">
        <f t="shared" si="147"/>
        <v>5632.5099999999993</v>
      </c>
    </row>
    <row r="774" spans="1:14" x14ac:dyDescent="0.2">
      <c r="A774" s="17" t="s">
        <v>477</v>
      </c>
      <c r="B774" s="10">
        <v>922.41</v>
      </c>
      <c r="C774" s="10">
        <v>585.44000000000005</v>
      </c>
      <c r="D774" s="10">
        <v>395.1</v>
      </c>
      <c r="E774" s="10">
        <v>334.74</v>
      </c>
      <c r="F774" s="10">
        <v>899.14</v>
      </c>
      <c r="G774" s="10">
        <v>746.29</v>
      </c>
      <c r="H774" s="10">
        <v>471.16</v>
      </c>
      <c r="I774" s="10">
        <v>634</v>
      </c>
      <c r="J774" s="10">
        <v>1148.2</v>
      </c>
      <c r="K774" s="10">
        <v>1272.54</v>
      </c>
      <c r="L774" s="10">
        <v>304.83999999999997</v>
      </c>
      <c r="M774" s="10">
        <v>1994.37</v>
      </c>
      <c r="N774" s="10">
        <f t="shared" si="147"/>
        <v>9708.23</v>
      </c>
    </row>
    <row r="775" spans="1:14" x14ac:dyDescent="0.2">
      <c r="A775" s="17" t="s">
        <v>478</v>
      </c>
      <c r="B775" s="10">
        <v>744.91</v>
      </c>
      <c r="C775" s="10">
        <v>713.47</v>
      </c>
      <c r="D775" s="10">
        <v>427.09</v>
      </c>
      <c r="E775" s="10">
        <v>809.83</v>
      </c>
      <c r="F775" s="10">
        <v>567.6</v>
      </c>
      <c r="G775" s="10">
        <v>600.51</v>
      </c>
      <c r="H775" s="10">
        <v>868.45</v>
      </c>
      <c r="I775" s="10">
        <v>541.11</v>
      </c>
      <c r="J775" s="10">
        <v>645.55999999999995</v>
      </c>
      <c r="K775" s="10">
        <v>705.54</v>
      </c>
      <c r="L775" s="10">
        <v>662.91</v>
      </c>
      <c r="M775" s="10">
        <v>868.13</v>
      </c>
      <c r="N775" s="10">
        <f t="shared" si="147"/>
        <v>8155.1099999999988</v>
      </c>
    </row>
    <row r="776" spans="1:14" x14ac:dyDescent="0.2">
      <c r="A776" s="17" t="s">
        <v>479</v>
      </c>
      <c r="B776" s="10">
        <v>634.55999999999995</v>
      </c>
      <c r="C776" s="10">
        <v>0</v>
      </c>
      <c r="D776" s="10">
        <v>939.04</v>
      </c>
      <c r="E776" s="10">
        <v>1619.04</v>
      </c>
      <c r="F776" s="10">
        <v>643.36</v>
      </c>
      <c r="G776" s="10">
        <v>1517.04</v>
      </c>
      <c r="H776" s="10">
        <v>631.36</v>
      </c>
      <c r="I776" s="10">
        <v>961.33</v>
      </c>
      <c r="J776" s="10">
        <v>3221.38</v>
      </c>
      <c r="K776" s="10">
        <v>801.68</v>
      </c>
      <c r="L776" s="10">
        <v>959.04</v>
      </c>
      <c r="M776" s="10">
        <v>2903.41</v>
      </c>
      <c r="N776" s="10">
        <f t="shared" si="147"/>
        <v>14831.240000000002</v>
      </c>
    </row>
    <row r="777" spans="1:14" x14ac:dyDescent="0.2">
      <c r="A777" s="17" t="s">
        <v>480</v>
      </c>
      <c r="B777" s="10">
        <v>0</v>
      </c>
      <c r="C777" s="10">
        <v>615.67999999999995</v>
      </c>
      <c r="D777" s="10">
        <v>315.68</v>
      </c>
      <c r="E777" s="10">
        <v>315.68</v>
      </c>
      <c r="F777" s="10">
        <v>959.04</v>
      </c>
      <c r="G777" s="10">
        <v>643.36</v>
      </c>
      <c r="H777" s="10">
        <v>0</v>
      </c>
      <c r="I777" s="10">
        <v>645.65</v>
      </c>
      <c r="J777" s="10">
        <v>0</v>
      </c>
      <c r="K777" s="10">
        <v>315.68</v>
      </c>
      <c r="L777" s="10">
        <v>631.36</v>
      </c>
      <c r="M777" s="10">
        <v>0</v>
      </c>
      <c r="N777" s="10">
        <f t="shared" si="147"/>
        <v>4442.13</v>
      </c>
    </row>
    <row r="778" spans="1:14" x14ac:dyDescent="0.2">
      <c r="A778" s="17" t="s">
        <v>481</v>
      </c>
      <c r="B778" s="10">
        <v>3327.36</v>
      </c>
      <c r="C778" s="10">
        <v>0</v>
      </c>
      <c r="D778" s="10">
        <v>1805.52</v>
      </c>
      <c r="E778" s="10">
        <v>0</v>
      </c>
      <c r="F778" s="10">
        <v>0</v>
      </c>
      <c r="G778" s="10">
        <v>3764.11</v>
      </c>
      <c r="H778" s="10">
        <v>1882.53</v>
      </c>
      <c r="I778" s="10">
        <v>0</v>
      </c>
      <c r="J778" s="10">
        <v>1878.89</v>
      </c>
      <c r="K778" s="10">
        <v>0</v>
      </c>
      <c r="L778" s="10">
        <v>0</v>
      </c>
      <c r="M778" s="10">
        <v>1875.24</v>
      </c>
      <c r="N778" s="10">
        <f t="shared" si="147"/>
        <v>14533.65</v>
      </c>
    </row>
    <row r="779" spans="1:14" x14ac:dyDescent="0.2">
      <c r="A779" s="16" t="s">
        <v>482</v>
      </c>
      <c r="B779" s="9">
        <f t="shared" ref="B779:N779" si="148">SUM(B771:B778)</f>
        <v>10243.84</v>
      </c>
      <c r="C779" s="9">
        <f t="shared" si="148"/>
        <v>6133.9800000000005</v>
      </c>
      <c r="D779" s="9">
        <f t="shared" si="148"/>
        <v>9583.83</v>
      </c>
      <c r="E779" s="9">
        <f t="shared" si="148"/>
        <v>51759.07</v>
      </c>
      <c r="F779" s="9">
        <f t="shared" si="148"/>
        <v>6994.22</v>
      </c>
      <c r="G779" s="9">
        <f t="shared" si="148"/>
        <v>10548.71</v>
      </c>
      <c r="H779" s="9">
        <f t="shared" si="148"/>
        <v>7963.0399999999991</v>
      </c>
      <c r="I779" s="9">
        <f t="shared" si="148"/>
        <v>8761.9499999999989</v>
      </c>
      <c r="J779" s="9">
        <f t="shared" si="148"/>
        <v>19550.829999999998</v>
      </c>
      <c r="K779" s="9">
        <f t="shared" si="148"/>
        <v>7508.8200000000006</v>
      </c>
      <c r="L779" s="9">
        <f t="shared" si="148"/>
        <v>6965.8099999999995</v>
      </c>
      <c r="M779" s="9">
        <f t="shared" si="148"/>
        <v>11982.62</v>
      </c>
      <c r="N779" s="9">
        <f t="shared" si="148"/>
        <v>157996.72</v>
      </c>
    </row>
    <row r="780" spans="1:14" ht="4.95" customHeight="1" x14ac:dyDescent="0.2">
      <c r="A780" s="11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</row>
    <row r="781" spans="1:14" ht="4.95" customHeight="1" x14ac:dyDescent="0.2"/>
    <row r="782" spans="1:14" x14ac:dyDescent="0.2">
      <c r="A782" s="16" t="s">
        <v>483</v>
      </c>
      <c r="B782" s="9">
        <f t="shared" ref="B782:N782" si="149">B768+B779</f>
        <v>50102.630000000005</v>
      </c>
      <c r="C782" s="9">
        <f t="shared" si="149"/>
        <v>44599.530000000006</v>
      </c>
      <c r="D782" s="9">
        <f t="shared" si="149"/>
        <v>48557.75</v>
      </c>
      <c r="E782" s="9">
        <f t="shared" si="149"/>
        <v>92618.78</v>
      </c>
      <c r="F782" s="9">
        <f t="shared" si="149"/>
        <v>48848.66</v>
      </c>
      <c r="G782" s="9">
        <f t="shared" si="149"/>
        <v>42454.04</v>
      </c>
      <c r="H782" s="9">
        <f t="shared" si="149"/>
        <v>52788.01</v>
      </c>
      <c r="I782" s="9">
        <f t="shared" si="149"/>
        <v>50553.55</v>
      </c>
      <c r="J782" s="9">
        <f t="shared" si="149"/>
        <v>57055.880000000005</v>
      </c>
      <c r="K782" s="9">
        <f t="shared" si="149"/>
        <v>50972.909999999996</v>
      </c>
      <c r="L782" s="9">
        <f t="shared" si="149"/>
        <v>47550.52</v>
      </c>
      <c r="M782" s="9">
        <f t="shared" si="149"/>
        <v>49804.920000000006</v>
      </c>
      <c r="N782" s="9">
        <f t="shared" si="149"/>
        <v>635907.18000000005</v>
      </c>
    </row>
    <row r="783" spans="1:14" ht="4.95" customHeight="1" x14ac:dyDescent="0.2"/>
    <row r="784" spans="1:14" x14ac:dyDescent="0.2">
      <c r="A784" s="16" t="s">
        <v>112</v>
      </c>
    </row>
    <row r="785" spans="1:14" x14ac:dyDescent="0.2">
      <c r="A785" s="17" t="s">
        <v>484</v>
      </c>
      <c r="B785" s="10">
        <v>0</v>
      </c>
      <c r="C785" s="10">
        <v>125</v>
      </c>
      <c r="D785" s="10">
        <v>560</v>
      </c>
      <c r="E785" s="10">
        <v>100</v>
      </c>
      <c r="F785" s="10">
        <v>0</v>
      </c>
      <c r="G785" s="10">
        <v>0</v>
      </c>
      <c r="H785" s="10">
        <v>0</v>
      </c>
      <c r="I785" s="10">
        <v>0</v>
      </c>
      <c r="J785" s="10">
        <v>0</v>
      </c>
      <c r="K785" s="10">
        <v>0</v>
      </c>
      <c r="L785" s="10">
        <v>0</v>
      </c>
      <c r="M785" s="10">
        <v>0</v>
      </c>
      <c r="N785" s="10">
        <f t="shared" ref="N785:N799" si="150">B785+C785+D785+E785+F785+G785+H785+I785+J785+K785+L785+M785</f>
        <v>785</v>
      </c>
    </row>
    <row r="786" spans="1:14" x14ac:dyDescent="0.2">
      <c r="A786" s="17" t="s">
        <v>485</v>
      </c>
      <c r="B786" s="10">
        <v>1291.4000000000001</v>
      </c>
      <c r="C786" s="10">
        <v>1255.05</v>
      </c>
      <c r="D786" s="10">
        <v>1417.49</v>
      </c>
      <c r="E786" s="10">
        <v>1448.81</v>
      </c>
      <c r="F786" s="10">
        <v>1517.97</v>
      </c>
      <c r="G786" s="10">
        <v>1407.73</v>
      </c>
      <c r="H786" s="10">
        <v>1382</v>
      </c>
      <c r="I786" s="10">
        <v>1366.37</v>
      </c>
      <c r="J786" s="10">
        <v>942.8</v>
      </c>
      <c r="K786" s="10">
        <v>942.55</v>
      </c>
      <c r="L786" s="10">
        <v>882.56</v>
      </c>
      <c r="M786" s="10">
        <v>1080.49</v>
      </c>
      <c r="N786" s="10">
        <f t="shared" si="150"/>
        <v>14935.219999999998</v>
      </c>
    </row>
    <row r="787" spans="1:14" x14ac:dyDescent="0.2">
      <c r="A787" s="17" t="s">
        <v>486</v>
      </c>
      <c r="B787" s="10">
        <v>-29.64</v>
      </c>
      <c r="C787" s="10">
        <v>-27.28</v>
      </c>
      <c r="D787" s="10">
        <v>19.38</v>
      </c>
      <c r="E787" s="10">
        <v>-11.06</v>
      </c>
      <c r="F787" s="10">
        <v>-19.07</v>
      </c>
      <c r="G787" s="10">
        <v>30.15</v>
      </c>
      <c r="H787" s="10">
        <v>-21.17</v>
      </c>
      <c r="I787" s="10">
        <v>-4.99</v>
      </c>
      <c r="J787" s="10">
        <v>227.97</v>
      </c>
      <c r="K787" s="10">
        <v>-371.18</v>
      </c>
      <c r="L787" s="10">
        <v>240.09</v>
      </c>
      <c r="M787" s="10">
        <v>-119.98</v>
      </c>
      <c r="N787" s="10">
        <f t="shared" si="150"/>
        <v>-86.780000000000044</v>
      </c>
    </row>
    <row r="788" spans="1:14" x14ac:dyDescent="0.2">
      <c r="A788" s="17" t="s">
        <v>487</v>
      </c>
      <c r="B788" s="10">
        <v>150</v>
      </c>
      <c r="C788" s="10">
        <v>150</v>
      </c>
      <c r="D788" s="10">
        <v>150</v>
      </c>
      <c r="E788" s="10">
        <v>150</v>
      </c>
      <c r="F788" s="10">
        <v>150</v>
      </c>
      <c r="G788" s="10">
        <v>150</v>
      </c>
      <c r="H788" s="10">
        <v>150</v>
      </c>
      <c r="I788" s="10">
        <v>150</v>
      </c>
      <c r="J788" s="10">
        <v>150</v>
      </c>
      <c r="K788" s="10">
        <v>150</v>
      </c>
      <c r="L788" s="10">
        <v>150</v>
      </c>
      <c r="M788" s="10">
        <v>150</v>
      </c>
      <c r="N788" s="10">
        <f t="shared" si="150"/>
        <v>1800</v>
      </c>
    </row>
    <row r="789" spans="1:14" x14ac:dyDescent="0.2">
      <c r="A789" s="17" t="s">
        <v>488</v>
      </c>
      <c r="B789" s="10">
        <v>22205.96</v>
      </c>
      <c r="C789" s="10">
        <v>35108.54</v>
      </c>
      <c r="D789" s="10">
        <v>45268.2</v>
      </c>
      <c r="E789" s="10">
        <v>27031.9</v>
      </c>
      <c r="F789" s="10">
        <v>35290.480000000003</v>
      </c>
      <c r="G789" s="10">
        <v>6515.1</v>
      </c>
      <c r="H789" s="10">
        <v>54478.15</v>
      </c>
      <c r="I789" s="10">
        <v>29339.56</v>
      </c>
      <c r="J789" s="10">
        <v>31353.53</v>
      </c>
      <c r="K789" s="10">
        <v>28462.48</v>
      </c>
      <c r="L789" s="10">
        <v>31759.15</v>
      </c>
      <c r="M789" s="10">
        <v>23754.639999999999</v>
      </c>
      <c r="N789" s="10">
        <f t="shared" si="150"/>
        <v>370567.69000000006</v>
      </c>
    </row>
    <row r="790" spans="1:14" x14ac:dyDescent="0.2">
      <c r="A790" s="17" t="s">
        <v>489</v>
      </c>
      <c r="B790" s="10">
        <v>0</v>
      </c>
      <c r="C790" s="10">
        <v>0</v>
      </c>
      <c r="D790" s="10">
        <v>0</v>
      </c>
      <c r="E790" s="10">
        <v>0</v>
      </c>
      <c r="F790" s="10">
        <v>0</v>
      </c>
      <c r="G790" s="10">
        <v>0</v>
      </c>
      <c r="H790" s="10">
        <v>0</v>
      </c>
      <c r="I790" s="10">
        <v>0</v>
      </c>
      <c r="J790" s="10">
        <v>0</v>
      </c>
      <c r="K790" s="10">
        <v>149.18</v>
      </c>
      <c r="L790" s="10">
        <v>-149.18</v>
      </c>
      <c r="M790" s="10">
        <v>0</v>
      </c>
      <c r="N790" s="10">
        <f t="shared" si="150"/>
        <v>0</v>
      </c>
    </row>
    <row r="791" spans="1:14" x14ac:dyDescent="0.2">
      <c r="A791" s="17" t="s">
        <v>490</v>
      </c>
      <c r="B791" s="10">
        <v>690.24</v>
      </c>
      <c r="C791" s="10">
        <v>1431.05</v>
      </c>
      <c r="D791" s="10">
        <v>1099.83</v>
      </c>
      <c r="E791" s="10">
        <v>749.81</v>
      </c>
      <c r="F791" s="10">
        <v>715.56</v>
      </c>
      <c r="G791" s="10">
        <v>735.58</v>
      </c>
      <c r="H791" s="10">
        <v>714.67</v>
      </c>
      <c r="I791" s="10">
        <v>845.85</v>
      </c>
      <c r="J791" s="10">
        <v>639.70000000000005</v>
      </c>
      <c r="K791" s="10">
        <v>480.38</v>
      </c>
      <c r="L791" s="10">
        <v>459.33</v>
      </c>
      <c r="M791" s="10">
        <v>1865.85</v>
      </c>
      <c r="N791" s="10">
        <f t="shared" si="150"/>
        <v>10427.85</v>
      </c>
    </row>
    <row r="792" spans="1:14" x14ac:dyDescent="0.2">
      <c r="A792" s="17" t="s">
        <v>491</v>
      </c>
      <c r="B792" s="10">
        <v>0</v>
      </c>
      <c r="C792" s="10">
        <v>0</v>
      </c>
      <c r="D792" s="10">
        <v>0</v>
      </c>
      <c r="E792" s="10">
        <v>10.1</v>
      </c>
      <c r="F792" s="10">
        <v>73</v>
      </c>
      <c r="G792" s="10">
        <v>0</v>
      </c>
      <c r="H792" s="10">
        <v>0</v>
      </c>
      <c r="I792" s="10">
        <v>0</v>
      </c>
      <c r="J792" s="10">
        <v>0</v>
      </c>
      <c r="K792" s="10">
        <v>0</v>
      </c>
      <c r="L792" s="10">
        <v>0</v>
      </c>
      <c r="M792" s="10">
        <v>24.25</v>
      </c>
      <c r="N792" s="10">
        <f t="shared" si="150"/>
        <v>107.35</v>
      </c>
    </row>
    <row r="793" spans="1:14" x14ac:dyDescent="0.2">
      <c r="A793" s="17" t="s">
        <v>492</v>
      </c>
      <c r="B793" s="10">
        <v>83.31</v>
      </c>
      <c r="C793" s="10">
        <v>756.83</v>
      </c>
      <c r="D793" s="10">
        <v>-40.36</v>
      </c>
      <c r="E793" s="10">
        <v>290.51</v>
      </c>
      <c r="F793" s="10">
        <v>716.99</v>
      </c>
      <c r="G793" s="10">
        <v>159.6</v>
      </c>
      <c r="H793" s="10">
        <v>0</v>
      </c>
      <c r="I793" s="10">
        <v>146.27000000000001</v>
      </c>
      <c r="J793" s="10">
        <v>92.3</v>
      </c>
      <c r="K793" s="10">
        <v>107.59</v>
      </c>
      <c r="L793" s="10">
        <v>104.28</v>
      </c>
      <c r="M793" s="10">
        <v>461.05</v>
      </c>
      <c r="N793" s="10">
        <f t="shared" si="150"/>
        <v>2878.3700000000008</v>
      </c>
    </row>
    <row r="794" spans="1:14" x14ac:dyDescent="0.2">
      <c r="A794" s="17" t="s">
        <v>493</v>
      </c>
      <c r="B794" s="10">
        <v>0</v>
      </c>
      <c r="C794" s="10">
        <v>0</v>
      </c>
      <c r="D794" s="10">
        <v>6533.05</v>
      </c>
      <c r="E794" s="10">
        <v>0</v>
      </c>
      <c r="F794" s="10">
        <v>0</v>
      </c>
      <c r="G794" s="10">
        <v>0</v>
      </c>
      <c r="H794" s="10">
        <v>0</v>
      </c>
      <c r="I794" s="10">
        <v>0</v>
      </c>
      <c r="J794" s="10">
        <v>11786.99</v>
      </c>
      <c r="K794" s="10">
        <v>0</v>
      </c>
      <c r="L794" s="10">
        <v>0</v>
      </c>
      <c r="M794" s="10">
        <v>0</v>
      </c>
      <c r="N794" s="10">
        <f t="shared" si="150"/>
        <v>18320.04</v>
      </c>
    </row>
    <row r="795" spans="1:14" x14ac:dyDescent="0.2">
      <c r="A795" s="17" t="s">
        <v>494</v>
      </c>
      <c r="B795" s="10">
        <v>0</v>
      </c>
      <c r="C795" s="10">
        <v>0</v>
      </c>
      <c r="D795" s="10">
        <v>0</v>
      </c>
      <c r="E795" s="10">
        <v>0</v>
      </c>
      <c r="F795" s="10">
        <v>0</v>
      </c>
      <c r="G795" s="10">
        <v>457.36</v>
      </c>
      <c r="H795" s="10">
        <v>0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f t="shared" si="150"/>
        <v>457.36</v>
      </c>
    </row>
    <row r="796" spans="1:14" x14ac:dyDescent="0.2">
      <c r="A796" s="17" t="s">
        <v>495</v>
      </c>
      <c r="B796" s="10">
        <v>0</v>
      </c>
      <c r="C796" s="10">
        <v>0</v>
      </c>
      <c r="D796" s="10">
        <v>0</v>
      </c>
      <c r="E796" s="10">
        <v>0</v>
      </c>
      <c r="F796" s="10">
        <v>0</v>
      </c>
      <c r="G796" s="10">
        <v>0</v>
      </c>
      <c r="H796" s="10">
        <v>0</v>
      </c>
      <c r="I796" s="10">
        <v>0</v>
      </c>
      <c r="J796" s="10">
        <v>83.28</v>
      </c>
      <c r="K796" s="10">
        <v>0</v>
      </c>
      <c r="L796" s="10">
        <v>0</v>
      </c>
      <c r="M796" s="10">
        <v>0</v>
      </c>
      <c r="N796" s="10">
        <f t="shared" si="150"/>
        <v>83.28</v>
      </c>
    </row>
    <row r="797" spans="1:14" x14ac:dyDescent="0.2">
      <c r="A797" s="17" t="s">
        <v>496</v>
      </c>
      <c r="B797" s="10">
        <v>0</v>
      </c>
      <c r="C797" s="10">
        <v>198.9</v>
      </c>
      <c r="D797" s="10">
        <v>0</v>
      </c>
      <c r="E797" s="10">
        <v>0</v>
      </c>
      <c r="F797" s="10">
        <v>0</v>
      </c>
      <c r="G797" s="10">
        <v>0</v>
      </c>
      <c r="H797" s="10">
        <v>281.20999999999998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f t="shared" si="150"/>
        <v>480.11</v>
      </c>
    </row>
    <row r="798" spans="1:14" x14ac:dyDescent="0.2">
      <c r="A798" s="17" t="s">
        <v>497</v>
      </c>
      <c r="B798" s="10">
        <v>0</v>
      </c>
      <c r="C798" s="10">
        <v>0</v>
      </c>
      <c r="D798" s="10">
        <v>-20</v>
      </c>
      <c r="E798" s="10">
        <v>438.14</v>
      </c>
      <c r="F798" s="10">
        <v>0</v>
      </c>
      <c r="G798" s="10">
        <v>0</v>
      </c>
      <c r="H798" s="10">
        <v>0</v>
      </c>
      <c r="I798" s="10">
        <v>0</v>
      </c>
      <c r="J798" s="10">
        <v>0</v>
      </c>
      <c r="K798" s="10">
        <v>165.71</v>
      </c>
      <c r="L798" s="10">
        <v>0</v>
      </c>
      <c r="M798" s="10">
        <v>0</v>
      </c>
      <c r="N798" s="10">
        <f t="shared" si="150"/>
        <v>583.85</v>
      </c>
    </row>
    <row r="799" spans="1:14" x14ac:dyDescent="0.2">
      <c r="A799" s="17" t="s">
        <v>498</v>
      </c>
      <c r="B799" s="10">
        <v>425.16</v>
      </c>
      <c r="C799" s="10">
        <v>147.24</v>
      </c>
      <c r="D799" s="10">
        <v>289.38</v>
      </c>
      <c r="E799" s="10">
        <v>1051.8499999999999</v>
      </c>
      <c r="F799" s="10">
        <v>148.18</v>
      </c>
      <c r="G799" s="10">
        <v>147.80000000000001</v>
      </c>
      <c r="H799" s="10">
        <v>165.6</v>
      </c>
      <c r="I799" s="10">
        <v>39.200000000000003</v>
      </c>
      <c r="J799" s="10">
        <v>4.4000000000000004</v>
      </c>
      <c r="K799" s="10">
        <v>0</v>
      </c>
      <c r="L799" s="10">
        <v>0</v>
      </c>
      <c r="M799" s="10">
        <v>0</v>
      </c>
      <c r="N799" s="10">
        <f t="shared" si="150"/>
        <v>2418.81</v>
      </c>
    </row>
    <row r="800" spans="1:14" ht="4.95" customHeight="1" x14ac:dyDescent="0.2">
      <c r="A800" s="11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</row>
    <row r="801" spans="1:14" ht="4.95" customHeight="1" x14ac:dyDescent="0.2"/>
    <row r="802" spans="1:14" x14ac:dyDescent="0.2">
      <c r="A802" s="16" t="s">
        <v>137</v>
      </c>
      <c r="B802" s="9">
        <f t="shared" ref="B802:N802" si="151">SUM(B785:B799)</f>
        <v>24816.43</v>
      </c>
      <c r="C802" s="9">
        <f t="shared" si="151"/>
        <v>39145.33</v>
      </c>
      <c r="D802" s="9">
        <f t="shared" si="151"/>
        <v>55276.97</v>
      </c>
      <c r="E802" s="9">
        <f t="shared" si="151"/>
        <v>31260.059999999998</v>
      </c>
      <c r="F802" s="9">
        <f t="shared" si="151"/>
        <v>38593.11</v>
      </c>
      <c r="G802" s="9">
        <f t="shared" si="151"/>
        <v>9603.3200000000015</v>
      </c>
      <c r="H802" s="9">
        <f t="shared" si="151"/>
        <v>57150.46</v>
      </c>
      <c r="I802" s="9">
        <f t="shared" si="151"/>
        <v>31882.260000000002</v>
      </c>
      <c r="J802" s="9">
        <f t="shared" si="151"/>
        <v>45280.97</v>
      </c>
      <c r="K802" s="9">
        <f t="shared" si="151"/>
        <v>30086.71</v>
      </c>
      <c r="L802" s="9">
        <f t="shared" si="151"/>
        <v>33446.230000000003</v>
      </c>
      <c r="M802" s="9">
        <f t="shared" si="151"/>
        <v>27216.299999999996</v>
      </c>
      <c r="N802" s="9">
        <f t="shared" si="151"/>
        <v>423758.14999999997</v>
      </c>
    </row>
    <row r="803" spans="1:14" ht="4.95" customHeight="1" x14ac:dyDescent="0.2"/>
    <row r="804" spans="1:14" ht="4.95" customHeight="1" x14ac:dyDescent="0.2">
      <c r="A804" s="11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</row>
    <row r="805" spans="1:14" ht="4.95" customHeight="1" x14ac:dyDescent="0.2"/>
    <row r="806" spans="1:14" x14ac:dyDescent="0.2">
      <c r="A806" s="16" t="s">
        <v>499</v>
      </c>
      <c r="B806" s="9">
        <f t="shared" ref="B806:N806" si="152">B782+B802</f>
        <v>74919.06</v>
      </c>
      <c r="C806" s="9">
        <f t="shared" si="152"/>
        <v>83744.860000000015</v>
      </c>
      <c r="D806" s="9">
        <f t="shared" si="152"/>
        <v>103834.72</v>
      </c>
      <c r="E806" s="9">
        <f t="shared" si="152"/>
        <v>123878.84</v>
      </c>
      <c r="F806" s="9">
        <f t="shared" si="152"/>
        <v>87441.77</v>
      </c>
      <c r="G806" s="9">
        <f t="shared" si="152"/>
        <v>52057.36</v>
      </c>
      <c r="H806" s="9">
        <f t="shared" si="152"/>
        <v>109938.47</v>
      </c>
      <c r="I806" s="9">
        <f t="shared" si="152"/>
        <v>82435.81</v>
      </c>
      <c r="J806" s="9">
        <f t="shared" si="152"/>
        <v>102336.85</v>
      </c>
      <c r="K806" s="9">
        <f t="shared" si="152"/>
        <v>81059.62</v>
      </c>
      <c r="L806" s="9">
        <f t="shared" si="152"/>
        <v>80996.75</v>
      </c>
      <c r="M806" s="9">
        <f t="shared" si="152"/>
        <v>77021.22</v>
      </c>
      <c r="N806" s="9">
        <f t="shared" si="152"/>
        <v>1059665.33</v>
      </c>
    </row>
    <row r="807" spans="1:14" ht="4.95" customHeight="1" x14ac:dyDescent="0.2"/>
    <row r="808" spans="1:14" x14ac:dyDescent="0.2">
      <c r="A808" s="16" t="s">
        <v>500</v>
      </c>
      <c r="B808" s="9">
        <f t="shared" ref="B808:N808" si="153">B806</f>
        <v>74919.06</v>
      </c>
      <c r="C808" s="9">
        <f t="shared" si="153"/>
        <v>83744.860000000015</v>
      </c>
      <c r="D808" s="9">
        <f t="shared" si="153"/>
        <v>103834.72</v>
      </c>
      <c r="E808" s="9">
        <f t="shared" si="153"/>
        <v>123878.84</v>
      </c>
      <c r="F808" s="9">
        <f t="shared" si="153"/>
        <v>87441.77</v>
      </c>
      <c r="G808" s="9">
        <f t="shared" si="153"/>
        <v>52057.36</v>
      </c>
      <c r="H808" s="9">
        <f t="shared" si="153"/>
        <v>109938.47</v>
      </c>
      <c r="I808" s="9">
        <f t="shared" si="153"/>
        <v>82435.81</v>
      </c>
      <c r="J808" s="9">
        <f t="shared" si="153"/>
        <v>102336.85</v>
      </c>
      <c r="K808" s="9">
        <f t="shared" si="153"/>
        <v>81059.62</v>
      </c>
      <c r="L808" s="9">
        <f t="shared" si="153"/>
        <v>80996.75</v>
      </c>
      <c r="M808" s="9">
        <f t="shared" si="153"/>
        <v>77021.22</v>
      </c>
      <c r="N808" s="9">
        <f t="shared" si="153"/>
        <v>1059665.33</v>
      </c>
    </row>
    <row r="809" spans="1:14" ht="4.95" customHeight="1" x14ac:dyDescent="0.2"/>
    <row r="810" spans="1:14" x14ac:dyDescent="0.2">
      <c r="A810" s="16" t="s">
        <v>35</v>
      </c>
    </row>
    <row r="812" spans="1:14" x14ac:dyDescent="0.2">
      <c r="A812" s="16" t="s">
        <v>501</v>
      </c>
    </row>
    <row r="813" spans="1:14" x14ac:dyDescent="0.2">
      <c r="A813" s="16" t="s">
        <v>502</v>
      </c>
    </row>
    <row r="815" spans="1:14" x14ac:dyDescent="0.2">
      <c r="A815" s="16" t="s">
        <v>503</v>
      </c>
    </row>
    <row r="816" spans="1:14" x14ac:dyDescent="0.2">
      <c r="A816" s="17" t="s">
        <v>504</v>
      </c>
      <c r="B816" s="10">
        <v>59.95</v>
      </c>
      <c r="C816" s="10">
        <v>59.95</v>
      </c>
      <c r="D816" s="10">
        <v>59.95</v>
      </c>
      <c r="E816" s="10">
        <v>59.95</v>
      </c>
      <c r="F816" s="10">
        <v>59.95</v>
      </c>
      <c r="G816" s="10">
        <v>59.95</v>
      </c>
      <c r="H816" s="10">
        <v>59.95</v>
      </c>
      <c r="I816" s="10">
        <v>59.95</v>
      </c>
      <c r="J816" s="10">
        <v>59.95</v>
      </c>
      <c r="K816" s="10">
        <v>59.95</v>
      </c>
      <c r="L816" s="10">
        <v>59.95</v>
      </c>
      <c r="M816" s="10">
        <v>59.95</v>
      </c>
      <c r="N816" s="10">
        <f>B816+C816+D816+E816+F816+G816+H816+I816+J816+K816+L816+M816</f>
        <v>719.40000000000009</v>
      </c>
    </row>
    <row r="817" spans="1:14" x14ac:dyDescent="0.2">
      <c r="A817" s="16" t="s">
        <v>505</v>
      </c>
      <c r="B817" s="9">
        <f t="shared" ref="B817:N817" si="154">B816</f>
        <v>59.95</v>
      </c>
      <c r="C817" s="9">
        <f t="shared" si="154"/>
        <v>59.95</v>
      </c>
      <c r="D817" s="9">
        <f t="shared" si="154"/>
        <v>59.95</v>
      </c>
      <c r="E817" s="9">
        <f t="shared" si="154"/>
        <v>59.95</v>
      </c>
      <c r="F817" s="9">
        <f t="shared" si="154"/>
        <v>59.95</v>
      </c>
      <c r="G817" s="9">
        <f t="shared" si="154"/>
        <v>59.95</v>
      </c>
      <c r="H817" s="9">
        <f t="shared" si="154"/>
        <v>59.95</v>
      </c>
      <c r="I817" s="9">
        <f t="shared" si="154"/>
        <v>59.95</v>
      </c>
      <c r="J817" s="9">
        <f t="shared" si="154"/>
        <v>59.95</v>
      </c>
      <c r="K817" s="9">
        <f t="shared" si="154"/>
        <v>59.95</v>
      </c>
      <c r="L817" s="9">
        <f t="shared" si="154"/>
        <v>59.95</v>
      </c>
      <c r="M817" s="9">
        <f t="shared" si="154"/>
        <v>59.95</v>
      </c>
      <c r="N817" s="9">
        <f t="shared" si="154"/>
        <v>719.40000000000009</v>
      </c>
    </row>
    <row r="818" spans="1:14" ht="4.95" customHeight="1" x14ac:dyDescent="0.2">
      <c r="A818" s="11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</row>
    <row r="819" spans="1:14" ht="4.95" customHeight="1" x14ac:dyDescent="0.2"/>
    <row r="820" spans="1:14" x14ac:dyDescent="0.2">
      <c r="A820" s="16" t="s">
        <v>506</v>
      </c>
      <c r="B820" s="9">
        <f t="shared" ref="B820:N820" si="155">B817</f>
        <v>59.95</v>
      </c>
      <c r="C820" s="9">
        <f t="shared" si="155"/>
        <v>59.95</v>
      </c>
      <c r="D820" s="9">
        <f t="shared" si="155"/>
        <v>59.95</v>
      </c>
      <c r="E820" s="9">
        <f t="shared" si="155"/>
        <v>59.95</v>
      </c>
      <c r="F820" s="9">
        <f t="shared" si="155"/>
        <v>59.95</v>
      </c>
      <c r="G820" s="9">
        <f t="shared" si="155"/>
        <v>59.95</v>
      </c>
      <c r="H820" s="9">
        <f t="shared" si="155"/>
        <v>59.95</v>
      </c>
      <c r="I820" s="9">
        <f t="shared" si="155"/>
        <v>59.95</v>
      </c>
      <c r="J820" s="9">
        <f t="shared" si="155"/>
        <v>59.95</v>
      </c>
      <c r="K820" s="9">
        <f t="shared" si="155"/>
        <v>59.95</v>
      </c>
      <c r="L820" s="9">
        <f t="shared" si="155"/>
        <v>59.95</v>
      </c>
      <c r="M820" s="9">
        <f t="shared" si="155"/>
        <v>59.95</v>
      </c>
      <c r="N820" s="9">
        <f t="shared" si="155"/>
        <v>719.40000000000009</v>
      </c>
    </row>
    <row r="821" spans="1:14" ht="4.95" customHeight="1" x14ac:dyDescent="0.2"/>
    <row r="822" spans="1:14" x14ac:dyDescent="0.2">
      <c r="A822" s="16" t="s">
        <v>507</v>
      </c>
    </row>
    <row r="823" spans="1:14" x14ac:dyDescent="0.2">
      <c r="A823" s="17" t="s">
        <v>508</v>
      </c>
      <c r="B823" s="10">
        <v>827.21</v>
      </c>
      <c r="C823" s="10">
        <v>673.58</v>
      </c>
      <c r="D823" s="10">
        <v>902.1</v>
      </c>
      <c r="E823" s="10">
        <v>902.1</v>
      </c>
      <c r="F823" s="10">
        <v>902.1</v>
      </c>
      <c r="G823" s="10">
        <v>902.1</v>
      </c>
      <c r="H823" s="10">
        <v>902.1</v>
      </c>
      <c r="I823" s="10">
        <v>902.1</v>
      </c>
      <c r="J823" s="10">
        <v>126.1</v>
      </c>
      <c r="K823" s="10">
        <v>126.1</v>
      </c>
      <c r="L823" s="10">
        <v>126.1</v>
      </c>
      <c r="M823" s="10">
        <v>126.1</v>
      </c>
      <c r="N823" s="10">
        <f>B823+C823+D823+E823+F823+G823+H823+I823+J823+K823+L823+M823</f>
        <v>7417.7900000000027</v>
      </c>
    </row>
    <row r="824" spans="1:14" x14ac:dyDescent="0.2">
      <c r="A824" s="17" t="s">
        <v>509</v>
      </c>
      <c r="B824" s="10">
        <v>3474.78</v>
      </c>
      <c r="C824" s="10">
        <v>3474.78</v>
      </c>
      <c r="D824" s="10">
        <v>3474.78</v>
      </c>
      <c r="E824" s="10">
        <v>3474.78</v>
      </c>
      <c r="F824" s="10">
        <v>3511.26</v>
      </c>
      <c r="G824" s="10">
        <v>2838.23</v>
      </c>
      <c r="H824" s="10">
        <v>2838.23</v>
      </c>
      <c r="I824" s="10">
        <v>2980.99</v>
      </c>
      <c r="J824" s="10">
        <v>2838.23</v>
      </c>
      <c r="K824" s="10">
        <v>10533.13</v>
      </c>
      <c r="L824" s="10">
        <v>2698.14</v>
      </c>
      <c r="M824" s="10">
        <v>7803.13</v>
      </c>
      <c r="N824" s="10">
        <f>B824+C824+D824+E824+F824+G824+H824+I824+J824+K824+L824+M824</f>
        <v>49940.46</v>
      </c>
    </row>
    <row r="825" spans="1:14" x14ac:dyDescent="0.2">
      <c r="A825" s="17" t="s">
        <v>510</v>
      </c>
      <c r="B825" s="10">
        <v>0</v>
      </c>
      <c r="C825" s="10">
        <v>0</v>
      </c>
      <c r="D825" s="10">
        <v>0</v>
      </c>
      <c r="E825" s="10">
        <v>0</v>
      </c>
      <c r="F825" s="10">
        <v>0</v>
      </c>
      <c r="G825" s="10">
        <v>0</v>
      </c>
      <c r="H825" s="10">
        <v>0</v>
      </c>
      <c r="I825" s="10">
        <v>86.58</v>
      </c>
      <c r="J825" s="10">
        <v>0</v>
      </c>
      <c r="K825" s="10">
        <v>0</v>
      </c>
      <c r="L825" s="10">
        <v>0</v>
      </c>
      <c r="M825" s="10">
        <v>0</v>
      </c>
      <c r="N825" s="10">
        <f>B825+C825+D825+E825+F825+G825+H825+I825+J825+K825+L825+M825</f>
        <v>86.58</v>
      </c>
    </row>
    <row r="826" spans="1:14" ht="4.95" customHeight="1" x14ac:dyDescent="0.2">
      <c r="A826" s="11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</row>
    <row r="827" spans="1:14" ht="4.95" customHeight="1" x14ac:dyDescent="0.2"/>
    <row r="828" spans="1:14" x14ac:dyDescent="0.2">
      <c r="A828" s="16" t="s">
        <v>511</v>
      </c>
      <c r="B828" s="9">
        <f t="shared" ref="B828:N828" si="156">SUM(B823:B825)</f>
        <v>4301.99</v>
      </c>
      <c r="C828" s="9">
        <f t="shared" si="156"/>
        <v>4148.3600000000006</v>
      </c>
      <c r="D828" s="9">
        <f t="shared" si="156"/>
        <v>4376.88</v>
      </c>
      <c r="E828" s="9">
        <f t="shared" si="156"/>
        <v>4376.88</v>
      </c>
      <c r="F828" s="9">
        <f t="shared" si="156"/>
        <v>4413.3600000000006</v>
      </c>
      <c r="G828" s="9">
        <f t="shared" si="156"/>
        <v>3740.33</v>
      </c>
      <c r="H828" s="9">
        <f t="shared" si="156"/>
        <v>3740.33</v>
      </c>
      <c r="I828" s="9">
        <f t="shared" si="156"/>
        <v>3969.6699999999996</v>
      </c>
      <c r="J828" s="9">
        <f t="shared" si="156"/>
        <v>2964.33</v>
      </c>
      <c r="K828" s="9">
        <f t="shared" si="156"/>
        <v>10659.23</v>
      </c>
      <c r="L828" s="9">
        <f t="shared" si="156"/>
        <v>2824.24</v>
      </c>
      <c r="M828" s="9">
        <f t="shared" si="156"/>
        <v>7929.2300000000005</v>
      </c>
      <c r="N828" s="9">
        <f t="shared" si="156"/>
        <v>57444.83</v>
      </c>
    </row>
    <row r="829" spans="1:14" ht="4.95" customHeight="1" x14ac:dyDescent="0.2"/>
    <row r="830" spans="1:14" x14ac:dyDescent="0.2">
      <c r="A830" s="16" t="s">
        <v>112</v>
      </c>
    </row>
    <row r="831" spans="1:14" x14ac:dyDescent="0.2">
      <c r="A831" s="17" t="s">
        <v>512</v>
      </c>
      <c r="B831" s="10">
        <v>1228.24</v>
      </c>
      <c r="C831" s="10">
        <v>1228.2</v>
      </c>
      <c r="D831" s="10">
        <v>1115.58</v>
      </c>
      <c r="E831" s="10">
        <v>1115.5999999999999</v>
      </c>
      <c r="F831" s="10">
        <v>505.83</v>
      </c>
      <c r="G831" s="10">
        <v>1725.33</v>
      </c>
      <c r="H831" s="10">
        <v>1115.58</v>
      </c>
      <c r="I831" s="10">
        <v>3219.85</v>
      </c>
      <c r="J831" s="10">
        <v>1416.22</v>
      </c>
      <c r="K831" s="10">
        <v>1420.33</v>
      </c>
      <c r="L831" s="10">
        <v>1569.6</v>
      </c>
      <c r="M831" s="10">
        <v>1423.91</v>
      </c>
      <c r="N831" s="10">
        <f>B831+C831+D831+E831+F831+G831+H831+I831+J831+K831+L831+M831</f>
        <v>17084.27</v>
      </c>
    </row>
    <row r="832" spans="1:14" ht="4.95" customHeight="1" x14ac:dyDescent="0.2">
      <c r="A832" s="11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</row>
    <row r="833" spans="1:14" ht="4.95" customHeight="1" x14ac:dyDescent="0.2"/>
    <row r="834" spans="1:14" x14ac:dyDescent="0.2">
      <c r="A834" s="16" t="s">
        <v>137</v>
      </c>
      <c r="B834" s="9">
        <f t="shared" ref="B834:N834" si="157">B831</f>
        <v>1228.24</v>
      </c>
      <c r="C834" s="9">
        <f t="shared" si="157"/>
        <v>1228.2</v>
      </c>
      <c r="D834" s="9">
        <f t="shared" si="157"/>
        <v>1115.58</v>
      </c>
      <c r="E834" s="9">
        <f t="shared" si="157"/>
        <v>1115.5999999999999</v>
      </c>
      <c r="F834" s="9">
        <f t="shared" si="157"/>
        <v>505.83</v>
      </c>
      <c r="G834" s="9">
        <f t="shared" si="157"/>
        <v>1725.33</v>
      </c>
      <c r="H834" s="9">
        <f t="shared" si="157"/>
        <v>1115.58</v>
      </c>
      <c r="I834" s="9">
        <f t="shared" si="157"/>
        <v>3219.85</v>
      </c>
      <c r="J834" s="9">
        <f t="shared" si="157"/>
        <v>1416.22</v>
      </c>
      <c r="K834" s="9">
        <f t="shared" si="157"/>
        <v>1420.33</v>
      </c>
      <c r="L834" s="9">
        <f t="shared" si="157"/>
        <v>1569.6</v>
      </c>
      <c r="M834" s="9">
        <f t="shared" si="157"/>
        <v>1423.91</v>
      </c>
      <c r="N834" s="9">
        <f t="shared" si="157"/>
        <v>17084.27</v>
      </c>
    </row>
    <row r="835" spans="1:14" ht="4.95" customHeight="1" x14ac:dyDescent="0.2"/>
    <row r="836" spans="1:14" ht="4.95" customHeight="1" x14ac:dyDescent="0.2">
      <c r="A836" s="11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</row>
    <row r="837" spans="1:14" ht="4.95" customHeight="1" x14ac:dyDescent="0.2"/>
    <row r="838" spans="1:14" x14ac:dyDescent="0.2">
      <c r="A838" s="16" t="s">
        <v>513</v>
      </c>
      <c r="B838" s="9">
        <f t="shared" ref="B838:N838" si="158">B820+B828+B834</f>
        <v>5590.1799999999994</v>
      </c>
      <c r="C838" s="9">
        <f t="shared" si="158"/>
        <v>5436.51</v>
      </c>
      <c r="D838" s="9">
        <f t="shared" si="158"/>
        <v>5552.41</v>
      </c>
      <c r="E838" s="9">
        <f t="shared" si="158"/>
        <v>5552.43</v>
      </c>
      <c r="F838" s="9">
        <f t="shared" si="158"/>
        <v>4979.1400000000003</v>
      </c>
      <c r="G838" s="9">
        <f t="shared" si="158"/>
        <v>5525.61</v>
      </c>
      <c r="H838" s="9">
        <f t="shared" si="158"/>
        <v>4915.8599999999997</v>
      </c>
      <c r="I838" s="9">
        <f t="shared" si="158"/>
        <v>7249.4699999999993</v>
      </c>
      <c r="J838" s="9">
        <f t="shared" si="158"/>
        <v>4440.5</v>
      </c>
      <c r="K838" s="9">
        <f t="shared" si="158"/>
        <v>12139.51</v>
      </c>
      <c r="L838" s="9">
        <f t="shared" si="158"/>
        <v>4453.7899999999991</v>
      </c>
      <c r="M838" s="9">
        <f t="shared" si="158"/>
        <v>9413.09</v>
      </c>
      <c r="N838" s="9">
        <f t="shared" si="158"/>
        <v>75248.5</v>
      </c>
    </row>
    <row r="840" spans="1:14" x14ac:dyDescent="0.2">
      <c r="A840" s="16" t="s">
        <v>501</v>
      </c>
    </row>
    <row r="841" spans="1:14" x14ac:dyDescent="0.2">
      <c r="A841" s="17" t="s">
        <v>514</v>
      </c>
      <c r="B841" s="10">
        <v>2954.49</v>
      </c>
      <c r="C841" s="10">
        <v>2955.13</v>
      </c>
      <c r="D841" s="10">
        <v>2960.46</v>
      </c>
      <c r="E841" s="10">
        <v>3005.7</v>
      </c>
      <c r="F841" s="10">
        <v>3223.97</v>
      </c>
      <c r="G841" s="10">
        <v>4599.7700000000004</v>
      </c>
      <c r="H841" s="10">
        <v>2991.28</v>
      </c>
      <c r="I841" s="10">
        <v>3001.15</v>
      </c>
      <c r="J841" s="10">
        <v>3135.39</v>
      </c>
      <c r="K841" s="10">
        <v>2955.58</v>
      </c>
      <c r="L841" s="10">
        <v>2943.17</v>
      </c>
      <c r="M841" s="10">
        <v>2934.99</v>
      </c>
      <c r="N841" s="10">
        <f>B841+C841+D841+E841+F841+G841+H841+I841+J841+K841+L841+M841</f>
        <v>37661.079999999994</v>
      </c>
    </row>
    <row r="842" spans="1:14" x14ac:dyDescent="0.2">
      <c r="A842" s="17" t="s">
        <v>515</v>
      </c>
      <c r="B842" s="10">
        <v>400</v>
      </c>
      <c r="C842" s="10">
        <v>400</v>
      </c>
      <c r="D842" s="10">
        <v>400</v>
      </c>
      <c r="E842" s="10">
        <v>400</v>
      </c>
      <c r="F842" s="10">
        <v>400</v>
      </c>
      <c r="G842" s="10">
        <v>400</v>
      </c>
      <c r="H842" s="10">
        <v>400</v>
      </c>
      <c r="I842" s="10">
        <v>400</v>
      </c>
      <c r="J842" s="10">
        <v>400</v>
      </c>
      <c r="K842" s="10">
        <v>400</v>
      </c>
      <c r="L842" s="10">
        <v>400</v>
      </c>
      <c r="M842" s="10">
        <v>400</v>
      </c>
      <c r="N842" s="10">
        <f>B842+C842+D842+E842+F842+G842+H842+I842+J842+K842+L842+M842</f>
        <v>4800</v>
      </c>
    </row>
    <row r="843" spans="1:14" x14ac:dyDescent="0.2">
      <c r="A843" s="17" t="s">
        <v>516</v>
      </c>
      <c r="B843" s="10">
        <v>650</v>
      </c>
      <c r="C843" s="10">
        <v>650</v>
      </c>
      <c r="D843" s="10">
        <v>650</v>
      </c>
      <c r="E843" s="10">
        <v>650</v>
      </c>
      <c r="F843" s="10">
        <v>650</v>
      </c>
      <c r="G843" s="10">
        <v>650</v>
      </c>
      <c r="H843" s="10">
        <v>650</v>
      </c>
      <c r="I843" s="10">
        <v>650</v>
      </c>
      <c r="J843" s="10">
        <v>650</v>
      </c>
      <c r="K843" s="10">
        <v>650</v>
      </c>
      <c r="L843" s="10">
        <v>650</v>
      </c>
      <c r="M843" s="10">
        <v>650</v>
      </c>
      <c r="N843" s="10">
        <f>B843+C843+D843+E843+F843+G843+H843+I843+J843+K843+L843+M843</f>
        <v>7800</v>
      </c>
    </row>
    <row r="844" spans="1:14" ht="4.95" customHeight="1" x14ac:dyDescent="0.2"/>
    <row r="845" spans="1:14" ht="4.95" customHeight="1" x14ac:dyDescent="0.2">
      <c r="A845" s="11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</row>
    <row r="846" spans="1:14" ht="4.95" customHeight="1" x14ac:dyDescent="0.2"/>
    <row r="847" spans="1:14" x14ac:dyDescent="0.2">
      <c r="A847" s="16" t="s">
        <v>513</v>
      </c>
      <c r="B847" s="9">
        <f t="shared" ref="B847:N847" si="159">SUM(B841:B843)</f>
        <v>4004.49</v>
      </c>
      <c r="C847" s="9">
        <f t="shared" si="159"/>
        <v>4005.13</v>
      </c>
      <c r="D847" s="9">
        <f t="shared" si="159"/>
        <v>4010.46</v>
      </c>
      <c r="E847" s="9">
        <f t="shared" si="159"/>
        <v>4055.7</v>
      </c>
      <c r="F847" s="9">
        <f t="shared" si="159"/>
        <v>4273.9699999999993</v>
      </c>
      <c r="G847" s="9">
        <f t="shared" si="159"/>
        <v>5649.77</v>
      </c>
      <c r="H847" s="9">
        <f t="shared" si="159"/>
        <v>4041.28</v>
      </c>
      <c r="I847" s="9">
        <f t="shared" si="159"/>
        <v>4051.15</v>
      </c>
      <c r="J847" s="9">
        <f t="shared" si="159"/>
        <v>4185.3899999999994</v>
      </c>
      <c r="K847" s="9">
        <f t="shared" si="159"/>
        <v>4005.58</v>
      </c>
      <c r="L847" s="9">
        <f t="shared" si="159"/>
        <v>3993.17</v>
      </c>
      <c r="M847" s="9">
        <f t="shared" si="159"/>
        <v>3984.99</v>
      </c>
      <c r="N847" s="9">
        <f t="shared" si="159"/>
        <v>50261.079999999994</v>
      </c>
    </row>
    <row r="848" spans="1:14" ht="4.95" customHeight="1" x14ac:dyDescent="0.2"/>
    <row r="849" spans="1:14" x14ac:dyDescent="0.2">
      <c r="A849" s="16" t="s">
        <v>517</v>
      </c>
      <c r="B849" s="9">
        <f t="shared" ref="B849:N849" si="160">B838+B847</f>
        <v>9594.6699999999983</v>
      </c>
      <c r="C849" s="9">
        <f t="shared" si="160"/>
        <v>9441.64</v>
      </c>
      <c r="D849" s="9">
        <f t="shared" si="160"/>
        <v>9562.869999999999</v>
      </c>
      <c r="E849" s="9">
        <f t="shared" si="160"/>
        <v>9608.130000000001</v>
      </c>
      <c r="F849" s="9">
        <f t="shared" si="160"/>
        <v>9253.11</v>
      </c>
      <c r="G849" s="9">
        <f t="shared" si="160"/>
        <v>11175.380000000001</v>
      </c>
      <c r="H849" s="9">
        <f t="shared" si="160"/>
        <v>8957.14</v>
      </c>
      <c r="I849" s="9">
        <f t="shared" si="160"/>
        <v>11300.619999999999</v>
      </c>
      <c r="J849" s="9">
        <f t="shared" si="160"/>
        <v>8625.89</v>
      </c>
      <c r="K849" s="9">
        <f t="shared" si="160"/>
        <v>16145.09</v>
      </c>
      <c r="L849" s="9">
        <f t="shared" si="160"/>
        <v>8446.9599999999991</v>
      </c>
      <c r="M849" s="9">
        <f t="shared" si="160"/>
        <v>13398.08</v>
      </c>
      <c r="N849" s="9">
        <f t="shared" si="160"/>
        <v>125509.57999999999</v>
      </c>
    </row>
    <row r="850" spans="1:14" ht="4.95" customHeight="1" x14ac:dyDescent="0.2"/>
    <row r="851" spans="1:14" x14ac:dyDescent="0.2">
      <c r="A851" s="16" t="s">
        <v>36</v>
      </c>
    </row>
    <row r="853" spans="1:14" x14ac:dyDescent="0.2">
      <c r="A853" s="16" t="s">
        <v>518</v>
      </c>
    </row>
    <row r="854" spans="1:14" x14ac:dyDescent="0.2">
      <c r="A854" s="16" t="s">
        <v>519</v>
      </c>
    </row>
    <row r="856" spans="1:14" x14ac:dyDescent="0.2">
      <c r="A856" s="16" t="s">
        <v>520</v>
      </c>
    </row>
    <row r="857" spans="1:14" x14ac:dyDescent="0.2">
      <c r="A857" s="16" t="s">
        <v>521</v>
      </c>
    </row>
    <row r="858" spans="1:14" x14ac:dyDescent="0.2">
      <c r="A858" s="17" t="s">
        <v>522</v>
      </c>
      <c r="B858" s="10">
        <v>10303.200000000001</v>
      </c>
      <c r="C858" s="10">
        <v>9667.2000000000007</v>
      </c>
      <c r="D858" s="10">
        <v>9544.48</v>
      </c>
      <c r="E858" s="10">
        <v>11111.52</v>
      </c>
      <c r="F858" s="10">
        <v>11640.64</v>
      </c>
      <c r="G858" s="10">
        <v>9590.75</v>
      </c>
      <c r="H858" s="10">
        <v>12251.83</v>
      </c>
      <c r="I858" s="10">
        <v>5899.37</v>
      </c>
      <c r="J858" s="10">
        <v>10280.15</v>
      </c>
      <c r="K858" s="10">
        <v>10659.77</v>
      </c>
      <c r="L858" s="10">
        <v>11336.42</v>
      </c>
      <c r="M858" s="10">
        <v>10128.629999999999</v>
      </c>
      <c r="N858" s="10">
        <f>B858+C858+D858+E858+F858+G858+H858+I858+J858+K858+L858+M858</f>
        <v>122413.95999999999</v>
      </c>
    </row>
    <row r="859" spans="1:14" x14ac:dyDescent="0.2">
      <c r="A859" s="17" t="s">
        <v>523</v>
      </c>
      <c r="B859" s="10">
        <v>0</v>
      </c>
      <c r="C859" s="10">
        <v>0</v>
      </c>
      <c r="D859" s="10">
        <v>7851.76</v>
      </c>
      <c r="E859" s="10">
        <v>5795.68</v>
      </c>
      <c r="F859" s="10">
        <v>5532.24</v>
      </c>
      <c r="G859" s="10">
        <v>4511.41</v>
      </c>
      <c r="H859" s="10">
        <v>5045.8599999999997</v>
      </c>
      <c r="I859" s="10">
        <v>5571.43</v>
      </c>
      <c r="J859" s="10">
        <v>9336.65</v>
      </c>
      <c r="K859" s="10">
        <v>11812.89</v>
      </c>
      <c r="L859" s="10">
        <v>11400.97</v>
      </c>
      <c r="M859" s="10">
        <v>9616.93</v>
      </c>
      <c r="N859" s="10">
        <f>B859+C859+D859+E859+F859+G859+H859+I859+J859+K859+L859+M859</f>
        <v>76475.820000000007</v>
      </c>
    </row>
    <row r="860" spans="1:14" x14ac:dyDescent="0.2">
      <c r="A860" s="16" t="s">
        <v>524</v>
      </c>
      <c r="B860" s="9">
        <f t="shared" ref="B860:N860" si="161">SUM(B858:B859)</f>
        <v>10303.200000000001</v>
      </c>
      <c r="C860" s="9">
        <f t="shared" si="161"/>
        <v>9667.2000000000007</v>
      </c>
      <c r="D860" s="9">
        <f t="shared" si="161"/>
        <v>17396.239999999998</v>
      </c>
      <c r="E860" s="9">
        <f t="shared" si="161"/>
        <v>16907.2</v>
      </c>
      <c r="F860" s="9">
        <f t="shared" si="161"/>
        <v>17172.879999999997</v>
      </c>
      <c r="G860" s="9">
        <f t="shared" si="161"/>
        <v>14102.16</v>
      </c>
      <c r="H860" s="9">
        <f t="shared" si="161"/>
        <v>17297.689999999999</v>
      </c>
      <c r="I860" s="9">
        <f t="shared" si="161"/>
        <v>11470.8</v>
      </c>
      <c r="J860" s="9">
        <f t="shared" si="161"/>
        <v>19616.8</v>
      </c>
      <c r="K860" s="9">
        <f t="shared" si="161"/>
        <v>22472.66</v>
      </c>
      <c r="L860" s="9">
        <f t="shared" si="161"/>
        <v>22737.39</v>
      </c>
      <c r="M860" s="9">
        <f t="shared" si="161"/>
        <v>19745.559999999998</v>
      </c>
      <c r="N860" s="9">
        <f t="shared" si="161"/>
        <v>198889.78</v>
      </c>
    </row>
    <row r="862" spans="1:14" x14ac:dyDescent="0.2">
      <c r="A862" s="16" t="s">
        <v>525</v>
      </c>
    </row>
    <row r="863" spans="1:14" x14ac:dyDescent="0.2">
      <c r="A863" s="17" t="s">
        <v>526</v>
      </c>
      <c r="B863" s="10">
        <v>13874.56</v>
      </c>
      <c r="C863" s="10">
        <v>23127.919999999998</v>
      </c>
      <c r="D863" s="10">
        <v>15055.12</v>
      </c>
      <c r="E863" s="10">
        <v>14973.2</v>
      </c>
      <c r="F863" s="10">
        <v>17127.599999999999</v>
      </c>
      <c r="G863" s="10">
        <v>15488.29</v>
      </c>
      <c r="H863" s="10">
        <v>17399.060000000001</v>
      </c>
      <c r="I863" s="10">
        <v>19674.64</v>
      </c>
      <c r="J863" s="10">
        <v>19259.990000000002</v>
      </c>
      <c r="K863" s="10">
        <v>21372.02</v>
      </c>
      <c r="L863" s="10">
        <v>17792.939999999999</v>
      </c>
      <c r="M863" s="10">
        <v>12634.02</v>
      </c>
      <c r="N863" s="10">
        <f>B863+C863+D863+E863+F863+G863+H863+I863+J863+K863+L863+M863</f>
        <v>207779.36</v>
      </c>
    </row>
    <row r="864" spans="1:14" x14ac:dyDescent="0.2">
      <c r="A864" s="16" t="s">
        <v>527</v>
      </c>
      <c r="B864" s="9">
        <f t="shared" ref="B864:N864" si="162">B863</f>
        <v>13874.56</v>
      </c>
      <c r="C864" s="9">
        <f t="shared" si="162"/>
        <v>23127.919999999998</v>
      </c>
      <c r="D864" s="9">
        <f t="shared" si="162"/>
        <v>15055.12</v>
      </c>
      <c r="E864" s="9">
        <f t="shared" si="162"/>
        <v>14973.2</v>
      </c>
      <c r="F864" s="9">
        <f t="shared" si="162"/>
        <v>17127.599999999999</v>
      </c>
      <c r="G864" s="9">
        <f t="shared" si="162"/>
        <v>15488.29</v>
      </c>
      <c r="H864" s="9">
        <f t="shared" si="162"/>
        <v>17399.060000000001</v>
      </c>
      <c r="I864" s="9">
        <f t="shared" si="162"/>
        <v>19674.64</v>
      </c>
      <c r="J864" s="9">
        <f t="shared" si="162"/>
        <v>19259.990000000002</v>
      </c>
      <c r="K864" s="9">
        <f t="shared" si="162"/>
        <v>21372.02</v>
      </c>
      <c r="L864" s="9">
        <f t="shared" si="162"/>
        <v>17792.939999999999</v>
      </c>
      <c r="M864" s="9">
        <f t="shared" si="162"/>
        <v>12634.02</v>
      </c>
      <c r="N864" s="9">
        <f t="shared" si="162"/>
        <v>207779.36</v>
      </c>
    </row>
    <row r="865" spans="1:14" x14ac:dyDescent="0.2">
      <c r="A865" s="16" t="s">
        <v>528</v>
      </c>
      <c r="B865" s="9">
        <f t="shared" ref="B865:N865" si="163">B860+B864</f>
        <v>24177.760000000002</v>
      </c>
      <c r="C865" s="9">
        <f t="shared" si="163"/>
        <v>32795.119999999995</v>
      </c>
      <c r="D865" s="9">
        <f t="shared" si="163"/>
        <v>32451.360000000001</v>
      </c>
      <c r="E865" s="9">
        <f t="shared" si="163"/>
        <v>31880.400000000001</v>
      </c>
      <c r="F865" s="9">
        <f t="shared" si="163"/>
        <v>34300.479999999996</v>
      </c>
      <c r="G865" s="9">
        <f t="shared" si="163"/>
        <v>29590.45</v>
      </c>
      <c r="H865" s="9">
        <f t="shared" si="163"/>
        <v>34696.75</v>
      </c>
      <c r="I865" s="9">
        <f t="shared" si="163"/>
        <v>31145.439999999999</v>
      </c>
      <c r="J865" s="9">
        <f t="shared" si="163"/>
        <v>38876.79</v>
      </c>
      <c r="K865" s="9">
        <f t="shared" si="163"/>
        <v>43844.68</v>
      </c>
      <c r="L865" s="9">
        <f t="shared" si="163"/>
        <v>40530.33</v>
      </c>
      <c r="M865" s="9">
        <f t="shared" si="163"/>
        <v>32379.579999999998</v>
      </c>
      <c r="N865" s="9">
        <f t="shared" si="163"/>
        <v>406669.14</v>
      </c>
    </row>
    <row r="867" spans="1:14" x14ac:dyDescent="0.2">
      <c r="A867" s="16" t="s">
        <v>529</v>
      </c>
    </row>
    <row r="868" spans="1:14" x14ac:dyDescent="0.2">
      <c r="A868" s="17" t="s">
        <v>530</v>
      </c>
      <c r="B868" s="10">
        <v>0</v>
      </c>
      <c r="C868" s="10">
        <v>0</v>
      </c>
      <c r="D868" s="10">
        <v>0</v>
      </c>
      <c r="E868" s="10">
        <v>9254.9</v>
      </c>
      <c r="F868" s="10">
        <v>0</v>
      </c>
      <c r="G868" s="10">
        <v>0</v>
      </c>
      <c r="H868" s="10">
        <v>0</v>
      </c>
      <c r="I868" s="10">
        <v>0</v>
      </c>
      <c r="J868" s="10">
        <v>4849.7</v>
      </c>
      <c r="K868" s="10">
        <v>0</v>
      </c>
      <c r="L868" s="10">
        <v>0</v>
      </c>
      <c r="M868" s="10">
        <v>0</v>
      </c>
      <c r="N868" s="10">
        <f t="shared" ref="N868:N874" si="164">B868+C868+D868+E868+F868+G868+H868+I868+J868+K868+L868+M868</f>
        <v>14104.599999999999</v>
      </c>
    </row>
    <row r="869" spans="1:14" x14ac:dyDescent="0.2">
      <c r="A869" s="17" t="s">
        <v>531</v>
      </c>
      <c r="B869" s="10">
        <v>2663.39</v>
      </c>
      <c r="C869" s="10">
        <v>3425.59</v>
      </c>
      <c r="D869" s="10">
        <v>4592.55</v>
      </c>
      <c r="E869" s="10">
        <v>3295.09</v>
      </c>
      <c r="F869" s="10">
        <v>3056.97</v>
      </c>
      <c r="G869" s="10">
        <v>2871.86</v>
      </c>
      <c r="H869" s="10">
        <v>3006.14</v>
      </c>
      <c r="I869" s="10">
        <v>3807.85</v>
      </c>
      <c r="J869" s="10">
        <v>3544.04</v>
      </c>
      <c r="K869" s="10">
        <v>3622.74</v>
      </c>
      <c r="L869" s="10">
        <v>3582.97</v>
      </c>
      <c r="M869" s="10">
        <v>2918.84</v>
      </c>
      <c r="N869" s="10">
        <f t="shared" si="164"/>
        <v>40388.03</v>
      </c>
    </row>
    <row r="870" spans="1:14" x14ac:dyDescent="0.2">
      <c r="A870" s="17" t="s">
        <v>532</v>
      </c>
      <c r="B870" s="10">
        <v>135.76</v>
      </c>
      <c r="C870" s="10">
        <v>171.8</v>
      </c>
      <c r="D870" s="10">
        <v>154.69</v>
      </c>
      <c r="E870" s="10">
        <v>156.04</v>
      </c>
      <c r="F870" s="10">
        <v>159.71</v>
      </c>
      <c r="G870" s="10">
        <v>167.75</v>
      </c>
      <c r="H870" s="10">
        <v>174.85</v>
      </c>
      <c r="I870" s="10">
        <v>648.67999999999995</v>
      </c>
      <c r="J870" s="10">
        <v>833.92</v>
      </c>
      <c r="K870" s="10">
        <v>829.29</v>
      </c>
      <c r="L870" s="10">
        <v>818.78</v>
      </c>
      <c r="M870" s="10">
        <v>766.44</v>
      </c>
      <c r="N870" s="10">
        <f t="shared" si="164"/>
        <v>5017.7099999999991</v>
      </c>
    </row>
    <row r="871" spans="1:14" x14ac:dyDescent="0.2">
      <c r="A871" s="17" t="s">
        <v>533</v>
      </c>
      <c r="B871" s="10">
        <v>451.85</v>
      </c>
      <c r="C871" s="10">
        <v>608.29</v>
      </c>
      <c r="D871" s="10">
        <v>355.61</v>
      </c>
      <c r="E871" s="10">
        <v>631.86</v>
      </c>
      <c r="F871" s="10">
        <v>465.16</v>
      </c>
      <c r="G871" s="10">
        <v>556.94000000000005</v>
      </c>
      <c r="H871" s="10">
        <v>672.22</v>
      </c>
      <c r="I871" s="10">
        <v>403.26</v>
      </c>
      <c r="J871" s="10">
        <v>669.17</v>
      </c>
      <c r="K871" s="10">
        <v>711.72</v>
      </c>
      <c r="L871" s="10">
        <v>662.02</v>
      </c>
      <c r="M871" s="10">
        <v>736.92</v>
      </c>
      <c r="N871" s="10">
        <f t="shared" si="164"/>
        <v>6925.02</v>
      </c>
    </row>
    <row r="872" spans="1:14" x14ac:dyDescent="0.2">
      <c r="A872" s="17" t="s">
        <v>534</v>
      </c>
      <c r="B872" s="10">
        <v>4972.16</v>
      </c>
      <c r="C872" s="10">
        <v>0</v>
      </c>
      <c r="D872" s="10">
        <v>1034.8</v>
      </c>
      <c r="E872" s="10">
        <v>1215.6199999999999</v>
      </c>
      <c r="F872" s="10">
        <v>1097.04</v>
      </c>
      <c r="G872" s="10">
        <v>640</v>
      </c>
      <c r="H872" s="10">
        <v>2099.52</v>
      </c>
      <c r="I872" s="10">
        <v>2020.1</v>
      </c>
      <c r="J872" s="10">
        <v>261.44</v>
      </c>
      <c r="K872" s="10">
        <v>529.15</v>
      </c>
      <c r="L872" s="10">
        <v>526.88</v>
      </c>
      <c r="M872" s="10">
        <v>2497.8200000000002</v>
      </c>
      <c r="N872" s="10">
        <f t="shared" si="164"/>
        <v>16894.53</v>
      </c>
    </row>
    <row r="873" spans="1:14" x14ac:dyDescent="0.2">
      <c r="A873" s="17" t="s">
        <v>535</v>
      </c>
      <c r="B873" s="10">
        <v>678</v>
      </c>
      <c r="C873" s="10">
        <v>250</v>
      </c>
      <c r="D873" s="10">
        <v>836.8</v>
      </c>
      <c r="E873" s="10">
        <v>1221.44</v>
      </c>
      <c r="F873" s="10">
        <v>0</v>
      </c>
      <c r="G873" s="10">
        <v>844.88</v>
      </c>
      <c r="H873" s="10">
        <v>0</v>
      </c>
      <c r="I873" s="10">
        <v>263.44</v>
      </c>
      <c r="J873" s="10">
        <v>849.15</v>
      </c>
      <c r="K873" s="10">
        <v>1567.47</v>
      </c>
      <c r="L873" s="10">
        <v>261.44</v>
      </c>
      <c r="M873" s="10">
        <v>480</v>
      </c>
      <c r="N873" s="10">
        <f t="shared" si="164"/>
        <v>7252.62</v>
      </c>
    </row>
    <row r="874" spans="1:14" x14ac:dyDescent="0.2">
      <c r="A874" s="17" t="s">
        <v>536</v>
      </c>
      <c r="B874" s="10">
        <v>2955.84</v>
      </c>
      <c r="C874" s="10">
        <v>0</v>
      </c>
      <c r="D874" s="10">
        <v>1499.12</v>
      </c>
      <c r="E874" s="10">
        <v>0</v>
      </c>
      <c r="F874" s="10">
        <v>0</v>
      </c>
      <c r="G874" s="10">
        <v>3090.4</v>
      </c>
      <c r="H874" s="10">
        <v>1225.23</v>
      </c>
      <c r="I874" s="10">
        <v>0</v>
      </c>
      <c r="J874" s="10">
        <v>1795.23</v>
      </c>
      <c r="K874" s="10">
        <v>0</v>
      </c>
      <c r="L874" s="10">
        <v>0</v>
      </c>
      <c r="M874" s="10">
        <v>1545.23</v>
      </c>
      <c r="N874" s="10">
        <f t="shared" si="164"/>
        <v>12111.05</v>
      </c>
    </row>
    <row r="875" spans="1:14" x14ac:dyDescent="0.2">
      <c r="A875" s="16" t="s">
        <v>537</v>
      </c>
      <c r="B875" s="9">
        <f t="shared" ref="B875:N875" si="165">SUM(B868:B874)</f>
        <v>11857</v>
      </c>
      <c r="C875" s="9">
        <f t="shared" si="165"/>
        <v>4455.68</v>
      </c>
      <c r="D875" s="9">
        <f t="shared" si="165"/>
        <v>8473.57</v>
      </c>
      <c r="E875" s="9">
        <f t="shared" si="165"/>
        <v>15774.950000000003</v>
      </c>
      <c r="F875" s="9">
        <f t="shared" si="165"/>
        <v>4778.8799999999992</v>
      </c>
      <c r="G875" s="9">
        <f t="shared" si="165"/>
        <v>8171.83</v>
      </c>
      <c r="H875" s="9">
        <f t="shared" si="165"/>
        <v>7177.9599999999991</v>
      </c>
      <c r="I875" s="9">
        <f t="shared" si="165"/>
        <v>7143.329999999999</v>
      </c>
      <c r="J875" s="9">
        <f t="shared" si="165"/>
        <v>12802.65</v>
      </c>
      <c r="K875" s="9">
        <f t="shared" si="165"/>
        <v>7260.37</v>
      </c>
      <c r="L875" s="9">
        <f t="shared" si="165"/>
        <v>5852.09</v>
      </c>
      <c r="M875" s="9">
        <f t="shared" si="165"/>
        <v>8945.25</v>
      </c>
      <c r="N875" s="9">
        <f t="shared" si="165"/>
        <v>102693.56</v>
      </c>
    </row>
    <row r="876" spans="1:14" ht="4.95" customHeight="1" x14ac:dyDescent="0.2">
      <c r="A876" s="11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</row>
    <row r="877" spans="1:14" ht="4.95" customHeight="1" x14ac:dyDescent="0.2"/>
    <row r="878" spans="1:14" x14ac:dyDescent="0.2">
      <c r="A878" s="16" t="s">
        <v>538</v>
      </c>
      <c r="B878" s="9">
        <f t="shared" ref="B878:N878" si="166">B865+B875</f>
        <v>36034.76</v>
      </c>
      <c r="C878" s="9">
        <f t="shared" si="166"/>
        <v>37250.799999999996</v>
      </c>
      <c r="D878" s="9">
        <f t="shared" si="166"/>
        <v>40924.93</v>
      </c>
      <c r="E878" s="9">
        <f t="shared" si="166"/>
        <v>47655.350000000006</v>
      </c>
      <c r="F878" s="9">
        <f t="shared" si="166"/>
        <v>39079.359999999993</v>
      </c>
      <c r="G878" s="9">
        <f t="shared" si="166"/>
        <v>37762.28</v>
      </c>
      <c r="H878" s="9">
        <f t="shared" si="166"/>
        <v>41874.71</v>
      </c>
      <c r="I878" s="9">
        <f t="shared" si="166"/>
        <v>38288.769999999997</v>
      </c>
      <c r="J878" s="9">
        <f t="shared" si="166"/>
        <v>51679.44</v>
      </c>
      <c r="K878" s="9">
        <f t="shared" si="166"/>
        <v>51105.05</v>
      </c>
      <c r="L878" s="9">
        <f t="shared" si="166"/>
        <v>46382.42</v>
      </c>
      <c r="M878" s="9">
        <f t="shared" si="166"/>
        <v>41324.83</v>
      </c>
      <c r="N878" s="9">
        <f t="shared" si="166"/>
        <v>509362.7</v>
      </c>
    </row>
    <row r="879" spans="1:14" ht="4.95" customHeight="1" x14ac:dyDescent="0.2"/>
    <row r="880" spans="1:14" x14ac:dyDescent="0.2">
      <c r="A880" s="16" t="s">
        <v>112</v>
      </c>
    </row>
    <row r="881" spans="1:14" x14ac:dyDescent="0.2">
      <c r="A881" s="17" t="s">
        <v>539</v>
      </c>
      <c r="B881" s="10">
        <v>2058.98</v>
      </c>
      <c r="C881" s="10">
        <v>1126.03</v>
      </c>
      <c r="D881" s="10">
        <v>1768.4</v>
      </c>
      <c r="E881" s="10">
        <v>1420.98</v>
      </c>
      <c r="F881" s="10">
        <v>435.6</v>
      </c>
      <c r="G881" s="10">
        <v>3318.39</v>
      </c>
      <c r="H881" s="10">
        <v>294.60000000000002</v>
      </c>
      <c r="I881" s="10">
        <v>1324.21</v>
      </c>
      <c r="J881" s="10">
        <v>1102.98</v>
      </c>
      <c r="K881" s="10">
        <v>1459.44</v>
      </c>
      <c r="L881" s="10">
        <v>1055.21</v>
      </c>
      <c r="M881" s="10">
        <v>-2702.16</v>
      </c>
      <c r="N881" s="10">
        <f t="shared" ref="N881:N891" si="167">B881+C881+D881+E881+F881+G881+H881+I881+J881+K881+L881+M881</f>
        <v>12662.66</v>
      </c>
    </row>
    <row r="882" spans="1:14" x14ac:dyDescent="0.2">
      <c r="A882" s="17" t="s">
        <v>540</v>
      </c>
      <c r="B882" s="10">
        <v>0</v>
      </c>
      <c r="C882" s="10">
        <v>792.82</v>
      </c>
      <c r="D882" s="10">
        <v>1242.17</v>
      </c>
      <c r="E882" s="10">
        <v>0</v>
      </c>
      <c r="F882" s="10">
        <v>0</v>
      </c>
      <c r="G882" s="10">
        <v>0</v>
      </c>
      <c r="H882" s="10">
        <v>0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f t="shared" si="167"/>
        <v>2034.9900000000002</v>
      </c>
    </row>
    <row r="883" spans="1:14" x14ac:dyDescent="0.2">
      <c r="A883" s="17" t="s">
        <v>541</v>
      </c>
      <c r="B883" s="10">
        <v>4083.16</v>
      </c>
      <c r="C883" s="10">
        <v>3912.31</v>
      </c>
      <c r="D883" s="10">
        <v>4094.09</v>
      </c>
      <c r="E883" s="10">
        <v>10619.02</v>
      </c>
      <c r="F883" s="10">
        <v>5786.79</v>
      </c>
      <c r="G883" s="10">
        <v>5697.46</v>
      </c>
      <c r="H883" s="10">
        <v>5780.85</v>
      </c>
      <c r="I883" s="10">
        <v>6109.08</v>
      </c>
      <c r="J883" s="10">
        <v>4484.1499999999996</v>
      </c>
      <c r="K883" s="10">
        <v>4484.1499999999996</v>
      </c>
      <c r="L883" s="10">
        <v>4484.1499999999996</v>
      </c>
      <c r="M883" s="10">
        <v>4824.0600000000004</v>
      </c>
      <c r="N883" s="10">
        <f t="shared" si="167"/>
        <v>64359.270000000004</v>
      </c>
    </row>
    <row r="884" spans="1:14" x14ac:dyDescent="0.2">
      <c r="A884" s="17" t="s">
        <v>542</v>
      </c>
      <c r="B884" s="10">
        <v>0</v>
      </c>
      <c r="C884" s="10">
        <v>500</v>
      </c>
      <c r="D884" s="10">
        <v>3501.1</v>
      </c>
      <c r="E884" s="10">
        <v>238</v>
      </c>
      <c r="F884" s="10">
        <v>2000</v>
      </c>
      <c r="G884" s="10">
        <v>3168.62</v>
      </c>
      <c r="H884" s="10">
        <v>-48.87</v>
      </c>
      <c r="I884" s="10">
        <v>1626.82</v>
      </c>
      <c r="J884" s="10">
        <v>1937.22</v>
      </c>
      <c r="K884" s="10">
        <v>768.88</v>
      </c>
      <c r="L884" s="10">
        <v>1210.3699999999999</v>
      </c>
      <c r="M884" s="10">
        <v>242.6</v>
      </c>
      <c r="N884" s="10">
        <f t="shared" si="167"/>
        <v>15144.74</v>
      </c>
    </row>
    <row r="885" spans="1:14" x14ac:dyDescent="0.2">
      <c r="A885" s="17" t="s">
        <v>543</v>
      </c>
      <c r="B885" s="10">
        <v>0</v>
      </c>
      <c r="C885" s="10">
        <v>297.58</v>
      </c>
      <c r="D885" s="10">
        <v>0</v>
      </c>
      <c r="E885" s="10">
        <v>0</v>
      </c>
      <c r="F885" s="10">
        <v>0</v>
      </c>
      <c r="G885" s="10">
        <v>0</v>
      </c>
      <c r="H885" s="10">
        <v>0</v>
      </c>
      <c r="I885" s="10">
        <v>0</v>
      </c>
      <c r="J885" s="10">
        <v>0</v>
      </c>
      <c r="K885" s="10">
        <v>0</v>
      </c>
      <c r="L885" s="10">
        <v>0</v>
      </c>
      <c r="M885" s="10">
        <v>0</v>
      </c>
      <c r="N885" s="10">
        <f t="shared" si="167"/>
        <v>297.58</v>
      </c>
    </row>
    <row r="886" spans="1:14" x14ac:dyDescent="0.2">
      <c r="A886" s="17" t="s">
        <v>544</v>
      </c>
      <c r="B886" s="10">
        <v>0</v>
      </c>
      <c r="C886" s="10">
        <v>0</v>
      </c>
      <c r="D886" s="10">
        <v>0</v>
      </c>
      <c r="E886" s="10">
        <v>0</v>
      </c>
      <c r="F886" s="10">
        <v>0</v>
      </c>
      <c r="G886" s="10">
        <v>0</v>
      </c>
      <c r="H886" s="10">
        <v>0</v>
      </c>
      <c r="I886" s="10">
        <v>0</v>
      </c>
      <c r="J886" s="10">
        <v>0</v>
      </c>
      <c r="K886" s="10">
        <v>2400</v>
      </c>
      <c r="L886" s="10">
        <v>0</v>
      </c>
      <c r="M886" s="10">
        <v>0</v>
      </c>
      <c r="N886" s="10">
        <f t="shared" si="167"/>
        <v>2400</v>
      </c>
    </row>
    <row r="887" spans="1:14" x14ac:dyDescent="0.2">
      <c r="A887" s="17" t="s">
        <v>545</v>
      </c>
      <c r="B887" s="10">
        <v>0</v>
      </c>
      <c r="C887" s="10">
        <v>255.11</v>
      </c>
      <c r="D887" s="10">
        <v>67.989999999999995</v>
      </c>
      <c r="E887" s="10">
        <v>67.989999999999995</v>
      </c>
      <c r="F887" s="10">
        <v>0</v>
      </c>
      <c r="G887" s="10">
        <v>1269.42</v>
      </c>
      <c r="H887" s="10">
        <v>0</v>
      </c>
      <c r="I887" s="10">
        <v>0</v>
      </c>
      <c r="J887" s="10">
        <v>36.64</v>
      </c>
      <c r="K887" s="10">
        <v>112.35</v>
      </c>
      <c r="L887" s="10">
        <v>75</v>
      </c>
      <c r="M887" s="10">
        <v>0</v>
      </c>
      <c r="N887" s="10">
        <f t="shared" si="167"/>
        <v>1884.5000000000002</v>
      </c>
    </row>
    <row r="888" spans="1:14" x14ac:dyDescent="0.2">
      <c r="A888" s="17" t="s">
        <v>546</v>
      </c>
      <c r="B888" s="10">
        <v>58.16</v>
      </c>
      <c r="C888" s="10">
        <v>146.33000000000001</v>
      </c>
      <c r="D888" s="10">
        <v>80.78</v>
      </c>
      <c r="E888" s="10">
        <v>63.19</v>
      </c>
      <c r="F888" s="10">
        <v>257.3</v>
      </c>
      <c r="G888" s="10">
        <v>99.25</v>
      </c>
      <c r="H888" s="10">
        <v>0</v>
      </c>
      <c r="I888" s="10">
        <v>126.91</v>
      </c>
      <c r="J888" s="10">
        <v>98.56</v>
      </c>
      <c r="K888" s="10">
        <v>452.79</v>
      </c>
      <c r="L888" s="10">
        <v>98.16</v>
      </c>
      <c r="M888" s="10">
        <v>45.5</v>
      </c>
      <c r="N888" s="10">
        <f t="shared" si="167"/>
        <v>1526.93</v>
      </c>
    </row>
    <row r="889" spans="1:14" x14ac:dyDescent="0.2">
      <c r="A889" s="17" t="s">
        <v>547</v>
      </c>
      <c r="B889" s="10">
        <v>0</v>
      </c>
      <c r="C889" s="10">
        <v>0</v>
      </c>
      <c r="D889" s="10">
        <v>0</v>
      </c>
      <c r="E889" s="10">
        <v>0</v>
      </c>
      <c r="F889" s="10">
        <v>450</v>
      </c>
      <c r="G889" s="10">
        <v>0</v>
      </c>
      <c r="H889" s="10">
        <v>0</v>
      </c>
      <c r="I889" s="10">
        <v>0</v>
      </c>
      <c r="J889" s="10">
        <v>0</v>
      </c>
      <c r="K889" s="10">
        <v>75</v>
      </c>
      <c r="L889" s="10">
        <v>4526.66</v>
      </c>
      <c r="M889" s="10">
        <v>0</v>
      </c>
      <c r="N889" s="10">
        <f t="shared" si="167"/>
        <v>5051.66</v>
      </c>
    </row>
    <row r="890" spans="1:14" x14ac:dyDescent="0.2">
      <c r="A890" s="17" t="s">
        <v>548</v>
      </c>
      <c r="B890" s="10">
        <v>0</v>
      </c>
      <c r="C890" s="10">
        <v>0</v>
      </c>
      <c r="D890" s="10">
        <v>0</v>
      </c>
      <c r="E890" s="10">
        <v>700</v>
      </c>
      <c r="F890" s="10">
        <v>700</v>
      </c>
      <c r="G890" s="10">
        <v>0</v>
      </c>
      <c r="H890" s="10">
        <v>0</v>
      </c>
      <c r="I890" s="10">
        <v>0</v>
      </c>
      <c r="J890" s="10">
        <v>0</v>
      </c>
      <c r="K890" s="10">
        <v>950</v>
      </c>
      <c r="L890" s="10">
        <v>0</v>
      </c>
      <c r="M890" s="10">
        <v>0</v>
      </c>
      <c r="N890" s="10">
        <f t="shared" si="167"/>
        <v>2350</v>
      </c>
    </row>
    <row r="891" spans="1:14" x14ac:dyDescent="0.2">
      <c r="A891" s="17" t="s">
        <v>549</v>
      </c>
      <c r="B891" s="10">
        <v>0</v>
      </c>
      <c r="C891" s="10">
        <v>0</v>
      </c>
      <c r="D891" s="10">
        <v>69.599999999999994</v>
      </c>
      <c r="E891" s="10">
        <v>93.6</v>
      </c>
      <c r="F891" s="10">
        <v>0</v>
      </c>
      <c r="G891" s="10">
        <v>32.82</v>
      </c>
      <c r="H891" s="10">
        <v>14.4</v>
      </c>
      <c r="I891" s="10">
        <v>346.82</v>
      </c>
      <c r="J891" s="10">
        <v>0</v>
      </c>
      <c r="K891" s="10">
        <v>0</v>
      </c>
      <c r="L891" s="10">
        <v>0</v>
      </c>
      <c r="M891" s="10">
        <v>0</v>
      </c>
      <c r="N891" s="10">
        <f t="shared" si="167"/>
        <v>557.24</v>
      </c>
    </row>
    <row r="892" spans="1:14" ht="4.95" customHeight="1" x14ac:dyDescent="0.2">
      <c r="A892" s="11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</row>
    <row r="893" spans="1:14" ht="4.95" customHeight="1" x14ac:dyDescent="0.2"/>
    <row r="894" spans="1:14" x14ac:dyDescent="0.2">
      <c r="A894" s="16" t="s">
        <v>137</v>
      </c>
      <c r="B894" s="9">
        <f t="shared" ref="B894:N894" si="168">SUM(B881:B891)</f>
        <v>6200.2999999999993</v>
      </c>
      <c r="C894" s="9">
        <f t="shared" si="168"/>
        <v>7030.1799999999994</v>
      </c>
      <c r="D894" s="9">
        <f t="shared" si="168"/>
        <v>10824.130000000001</v>
      </c>
      <c r="E894" s="9">
        <f t="shared" si="168"/>
        <v>13202.78</v>
      </c>
      <c r="F894" s="9">
        <f t="shared" si="168"/>
        <v>9629.6899999999987</v>
      </c>
      <c r="G894" s="9">
        <f t="shared" si="168"/>
        <v>13585.960000000001</v>
      </c>
      <c r="H894" s="9">
        <f t="shared" si="168"/>
        <v>6040.9800000000005</v>
      </c>
      <c r="I894" s="9">
        <f t="shared" si="168"/>
        <v>9533.84</v>
      </c>
      <c r="J894" s="9">
        <f t="shared" si="168"/>
        <v>7659.55</v>
      </c>
      <c r="K894" s="9">
        <f t="shared" si="168"/>
        <v>10702.610000000002</v>
      </c>
      <c r="L894" s="9">
        <f t="shared" si="168"/>
        <v>11449.55</v>
      </c>
      <c r="M894" s="9">
        <f t="shared" si="168"/>
        <v>2410.0000000000005</v>
      </c>
      <c r="N894" s="9">
        <f t="shared" si="168"/>
        <v>108269.57</v>
      </c>
    </row>
    <row r="895" spans="1:14" ht="4.95" customHeight="1" x14ac:dyDescent="0.2"/>
    <row r="896" spans="1:14" ht="4.95" customHeight="1" x14ac:dyDescent="0.2">
      <c r="A896" s="11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</row>
    <row r="897" spans="1:14" ht="4.95" customHeight="1" x14ac:dyDescent="0.2"/>
    <row r="898" spans="1:14" x14ac:dyDescent="0.2">
      <c r="A898" s="16" t="s">
        <v>550</v>
      </c>
      <c r="B898" s="9">
        <f t="shared" ref="B898:N898" si="169">B878+B894</f>
        <v>42235.06</v>
      </c>
      <c r="C898" s="9">
        <f t="shared" si="169"/>
        <v>44280.979999999996</v>
      </c>
      <c r="D898" s="9">
        <f t="shared" si="169"/>
        <v>51749.06</v>
      </c>
      <c r="E898" s="9">
        <f t="shared" si="169"/>
        <v>60858.130000000005</v>
      </c>
      <c r="F898" s="9">
        <f t="shared" si="169"/>
        <v>48709.049999999988</v>
      </c>
      <c r="G898" s="9">
        <f t="shared" si="169"/>
        <v>51348.24</v>
      </c>
      <c r="H898" s="9">
        <f t="shared" si="169"/>
        <v>47915.69</v>
      </c>
      <c r="I898" s="9">
        <f t="shared" si="169"/>
        <v>47822.61</v>
      </c>
      <c r="J898" s="9">
        <f t="shared" si="169"/>
        <v>59338.990000000005</v>
      </c>
      <c r="K898" s="9">
        <f t="shared" si="169"/>
        <v>61807.66</v>
      </c>
      <c r="L898" s="9">
        <f t="shared" si="169"/>
        <v>57831.97</v>
      </c>
      <c r="M898" s="9">
        <f t="shared" si="169"/>
        <v>43734.83</v>
      </c>
      <c r="N898" s="9">
        <f t="shared" si="169"/>
        <v>617632.27</v>
      </c>
    </row>
    <row r="899" spans="1:14" ht="4.95" customHeight="1" x14ac:dyDescent="0.2"/>
    <row r="900" spans="1:14" x14ac:dyDescent="0.2">
      <c r="A900" s="16" t="s">
        <v>551</v>
      </c>
      <c r="B900" s="9">
        <f t="shared" ref="B900:N900" si="170">B898</f>
        <v>42235.06</v>
      </c>
      <c r="C900" s="9">
        <f t="shared" si="170"/>
        <v>44280.979999999996</v>
      </c>
      <c r="D900" s="9">
        <f t="shared" si="170"/>
        <v>51749.06</v>
      </c>
      <c r="E900" s="9">
        <f t="shared" si="170"/>
        <v>60858.130000000005</v>
      </c>
      <c r="F900" s="9">
        <f t="shared" si="170"/>
        <v>48709.049999999988</v>
      </c>
      <c r="G900" s="9">
        <f t="shared" si="170"/>
        <v>51348.24</v>
      </c>
      <c r="H900" s="9">
        <f t="shared" si="170"/>
        <v>47915.69</v>
      </c>
      <c r="I900" s="9">
        <f t="shared" si="170"/>
        <v>47822.61</v>
      </c>
      <c r="J900" s="9">
        <f t="shared" si="170"/>
        <v>59338.990000000005</v>
      </c>
      <c r="K900" s="9">
        <f t="shared" si="170"/>
        <v>61807.66</v>
      </c>
      <c r="L900" s="9">
        <f t="shared" si="170"/>
        <v>57831.97</v>
      </c>
      <c r="M900" s="9">
        <f t="shared" si="170"/>
        <v>43734.83</v>
      </c>
      <c r="N900" s="9">
        <f t="shared" si="170"/>
        <v>617632.27</v>
      </c>
    </row>
    <row r="901" spans="1:14" ht="4.95" customHeight="1" x14ac:dyDescent="0.2"/>
    <row r="902" spans="1:14" x14ac:dyDescent="0.2">
      <c r="A902" s="16" t="s">
        <v>37</v>
      </c>
    </row>
    <row r="904" spans="1:14" x14ac:dyDescent="0.2">
      <c r="A904" s="16" t="s">
        <v>552</v>
      </c>
    </row>
    <row r="905" spans="1:14" x14ac:dyDescent="0.2">
      <c r="A905" s="17" t="s">
        <v>553</v>
      </c>
      <c r="B905" s="10">
        <v>26280.27</v>
      </c>
      <c r="C905" s="10">
        <v>41425.269999999997</v>
      </c>
      <c r="D905" s="10">
        <v>51248.13</v>
      </c>
      <c r="E905" s="10">
        <v>41180.199999999997</v>
      </c>
      <c r="F905" s="10">
        <v>40547.19</v>
      </c>
      <c r="G905" s="10">
        <v>35228.699999999997</v>
      </c>
      <c r="H905" s="10">
        <v>29284.19</v>
      </c>
      <c r="I905" s="10">
        <v>30846.06</v>
      </c>
      <c r="J905" s="10">
        <v>32265.15</v>
      </c>
      <c r="K905" s="10">
        <v>36932.379999999997</v>
      </c>
      <c r="L905" s="10">
        <v>36365.599999999999</v>
      </c>
      <c r="M905" s="10">
        <v>24324.6</v>
      </c>
      <c r="N905" s="10">
        <f>B905+C905+D905+E905+F905+G905+H905+I905+J905+K905+L905+M905</f>
        <v>425927.74</v>
      </c>
    </row>
    <row r="906" spans="1:14" x14ac:dyDescent="0.2">
      <c r="A906" s="17" t="s">
        <v>554</v>
      </c>
      <c r="B906" s="10">
        <v>35591.35</v>
      </c>
      <c r="C906" s="10">
        <v>55216.55</v>
      </c>
      <c r="D906" s="10">
        <v>67908.52</v>
      </c>
      <c r="E906" s="10">
        <v>54037.51</v>
      </c>
      <c r="F906" s="10">
        <v>53616.51</v>
      </c>
      <c r="G906" s="10">
        <v>46440.33</v>
      </c>
      <c r="H906" s="10">
        <v>39765.360000000001</v>
      </c>
      <c r="I906" s="10">
        <v>41558.85</v>
      </c>
      <c r="J906" s="10">
        <v>42870.58</v>
      </c>
      <c r="K906" s="10">
        <v>47541.22</v>
      </c>
      <c r="L906" s="10">
        <v>47110.27</v>
      </c>
      <c r="M906" s="10">
        <v>32447.9</v>
      </c>
      <c r="N906" s="10">
        <f>B906+C906+D906+E906+F906+G906+H906+I906+J906+K906+L906+M906</f>
        <v>564104.95000000007</v>
      </c>
    </row>
    <row r="907" spans="1:14" x14ac:dyDescent="0.2">
      <c r="A907" s="17" t="s">
        <v>555</v>
      </c>
      <c r="B907" s="10">
        <v>22635.09</v>
      </c>
      <c r="C907" s="10">
        <v>32463.57</v>
      </c>
      <c r="D907" s="10">
        <v>43770.19</v>
      </c>
      <c r="E907" s="10">
        <v>23975.63</v>
      </c>
      <c r="F907" s="10">
        <v>30565.58</v>
      </c>
      <c r="G907" s="10">
        <v>26047.54</v>
      </c>
      <c r="H907" s="10">
        <v>20246.39</v>
      </c>
      <c r="I907" s="10">
        <v>25577.88</v>
      </c>
      <c r="J907" s="10">
        <v>26477.51</v>
      </c>
      <c r="K907" s="10">
        <v>27487.34</v>
      </c>
      <c r="L907" s="10">
        <v>26138.67</v>
      </c>
      <c r="M907" s="10">
        <v>18531.16</v>
      </c>
      <c r="N907" s="10">
        <f>B907+C907+D907+E907+F907+G907+H907+I907+J907+K907+L907+M907</f>
        <v>323916.55</v>
      </c>
    </row>
    <row r="908" spans="1:14" x14ac:dyDescent="0.2">
      <c r="A908" s="17" t="s">
        <v>556</v>
      </c>
      <c r="B908" s="10">
        <v>19901.240000000002</v>
      </c>
      <c r="C908" s="10">
        <v>28190.69</v>
      </c>
      <c r="D908" s="10">
        <v>39294.43</v>
      </c>
      <c r="E908" s="10">
        <v>20364.22</v>
      </c>
      <c r="F908" s="10">
        <v>30649.54</v>
      </c>
      <c r="G908" s="10">
        <v>49252.86</v>
      </c>
      <c r="H908" s="10">
        <v>29454.639999999999</v>
      </c>
      <c r="I908" s="10">
        <v>29405.56</v>
      </c>
      <c r="J908" s="10">
        <v>26892.91</v>
      </c>
      <c r="K908" s="10">
        <v>18936.18</v>
      </c>
      <c r="L908" s="10">
        <v>34838.18</v>
      </c>
      <c r="M908" s="10">
        <v>20037.12</v>
      </c>
      <c r="N908" s="10">
        <f>B908+C908+D908+E908+F908+G908+H908+I908+J908+K908+L908+M908</f>
        <v>347217.56999999995</v>
      </c>
    </row>
    <row r="909" spans="1:14" ht="4.95" customHeight="1" x14ac:dyDescent="0.2"/>
    <row r="910" spans="1:14" ht="4.95" customHeight="1" x14ac:dyDescent="0.2">
      <c r="A910" s="11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</row>
    <row r="911" spans="1:14" ht="4.95" customHeight="1" x14ac:dyDescent="0.2"/>
    <row r="912" spans="1:14" x14ac:dyDescent="0.2">
      <c r="A912" s="16" t="s">
        <v>557</v>
      </c>
      <c r="B912" s="9">
        <f t="shared" ref="B912:N912" si="171">SUM(B905:B908)</f>
        <v>104407.95</v>
      </c>
      <c r="C912" s="9">
        <f t="shared" si="171"/>
        <v>157296.08000000002</v>
      </c>
      <c r="D912" s="9">
        <f t="shared" si="171"/>
        <v>202221.27</v>
      </c>
      <c r="E912" s="9">
        <f t="shared" si="171"/>
        <v>139557.56</v>
      </c>
      <c r="F912" s="9">
        <f t="shared" si="171"/>
        <v>155378.82</v>
      </c>
      <c r="G912" s="9">
        <f t="shared" si="171"/>
        <v>156969.43</v>
      </c>
      <c r="H912" s="9">
        <f t="shared" si="171"/>
        <v>118750.58</v>
      </c>
      <c r="I912" s="9">
        <f t="shared" si="171"/>
        <v>127388.35</v>
      </c>
      <c r="J912" s="9">
        <f t="shared" si="171"/>
        <v>128506.15000000001</v>
      </c>
      <c r="K912" s="9">
        <f t="shared" si="171"/>
        <v>130897.12</v>
      </c>
      <c r="L912" s="9">
        <f t="shared" si="171"/>
        <v>144452.72</v>
      </c>
      <c r="M912" s="9">
        <f t="shared" si="171"/>
        <v>95340.78</v>
      </c>
      <c r="N912" s="9">
        <f t="shared" si="171"/>
        <v>1661166.81</v>
      </c>
    </row>
    <row r="913" spans="1:14" ht="4.95" customHeight="1" x14ac:dyDescent="0.2"/>
    <row r="914" spans="1:14" x14ac:dyDescent="0.2">
      <c r="A914" s="16" t="s">
        <v>558</v>
      </c>
      <c r="B914" s="9">
        <f t="shared" ref="B914:N914" si="172">B912</f>
        <v>104407.95</v>
      </c>
      <c r="C914" s="9">
        <f t="shared" si="172"/>
        <v>157296.08000000002</v>
      </c>
      <c r="D914" s="9">
        <f t="shared" si="172"/>
        <v>202221.27</v>
      </c>
      <c r="E914" s="9">
        <f t="shared" si="172"/>
        <v>139557.56</v>
      </c>
      <c r="F914" s="9">
        <f t="shared" si="172"/>
        <v>155378.82</v>
      </c>
      <c r="G914" s="9">
        <f t="shared" si="172"/>
        <v>156969.43</v>
      </c>
      <c r="H914" s="9">
        <f t="shared" si="172"/>
        <v>118750.58</v>
      </c>
      <c r="I914" s="9">
        <f t="shared" si="172"/>
        <v>127388.35</v>
      </c>
      <c r="J914" s="9">
        <f t="shared" si="172"/>
        <v>128506.15000000001</v>
      </c>
      <c r="K914" s="9">
        <f t="shared" si="172"/>
        <v>130897.12</v>
      </c>
      <c r="L914" s="9">
        <f t="shared" si="172"/>
        <v>144452.72</v>
      </c>
      <c r="M914" s="9">
        <f t="shared" si="172"/>
        <v>95340.78</v>
      </c>
      <c r="N914" s="9">
        <f t="shared" si="172"/>
        <v>1661166.81</v>
      </c>
    </row>
    <row r="915" spans="1:14" ht="4.95" customHeight="1" x14ac:dyDescent="0.2"/>
    <row r="916" spans="1:14" x14ac:dyDescent="0.2">
      <c r="A916" s="16" t="s">
        <v>38</v>
      </c>
    </row>
    <row r="918" spans="1:14" x14ac:dyDescent="0.2">
      <c r="A918" s="16" t="s">
        <v>559</v>
      </c>
    </row>
    <row r="919" spans="1:14" x14ac:dyDescent="0.2">
      <c r="A919" s="16" t="s">
        <v>560</v>
      </c>
    </row>
    <row r="921" spans="1:14" x14ac:dyDescent="0.2">
      <c r="A921" s="16" t="s">
        <v>561</v>
      </c>
    </row>
    <row r="922" spans="1:14" x14ac:dyDescent="0.2">
      <c r="A922" s="16" t="s">
        <v>562</v>
      </c>
    </row>
    <row r="923" spans="1:14" x14ac:dyDescent="0.2">
      <c r="A923" s="17" t="s">
        <v>563</v>
      </c>
      <c r="B923" s="10">
        <v>6672</v>
      </c>
      <c r="C923" s="10">
        <v>6672</v>
      </c>
      <c r="D923" s="10">
        <v>6915.6</v>
      </c>
      <c r="E923" s="10">
        <v>7249.2</v>
      </c>
      <c r="F923" s="10">
        <v>5523.2</v>
      </c>
      <c r="G923" s="10">
        <v>5912.55</v>
      </c>
      <c r="H923" s="10">
        <v>7994.42</v>
      </c>
      <c r="I923" s="10">
        <v>6956.9</v>
      </c>
      <c r="J923" s="10">
        <v>6707.84</v>
      </c>
      <c r="K923" s="10">
        <v>6955.59</v>
      </c>
      <c r="L923" s="10">
        <v>7051.83</v>
      </c>
      <c r="M923" s="10">
        <v>6954.29</v>
      </c>
      <c r="N923" s="10">
        <f>B923+C923+D923+E923+F923+G923+H923+I923+J923+K923+L923+M923</f>
        <v>81565.42</v>
      </c>
    </row>
    <row r="924" spans="1:14" x14ac:dyDescent="0.2">
      <c r="A924" s="16" t="s">
        <v>564</v>
      </c>
      <c r="B924" s="9">
        <f t="shared" ref="B924:N924" si="173">B923</f>
        <v>6672</v>
      </c>
      <c r="C924" s="9">
        <f t="shared" si="173"/>
        <v>6672</v>
      </c>
      <c r="D924" s="9">
        <f t="shared" si="173"/>
        <v>6915.6</v>
      </c>
      <c r="E924" s="9">
        <f t="shared" si="173"/>
        <v>7249.2</v>
      </c>
      <c r="F924" s="9">
        <f t="shared" si="173"/>
        <v>5523.2</v>
      </c>
      <c r="G924" s="9">
        <f t="shared" si="173"/>
        <v>5912.55</v>
      </c>
      <c r="H924" s="9">
        <f t="shared" si="173"/>
        <v>7994.42</v>
      </c>
      <c r="I924" s="9">
        <f t="shared" si="173"/>
        <v>6956.9</v>
      </c>
      <c r="J924" s="9">
        <f t="shared" si="173"/>
        <v>6707.84</v>
      </c>
      <c r="K924" s="9">
        <f t="shared" si="173"/>
        <v>6955.59</v>
      </c>
      <c r="L924" s="9">
        <f t="shared" si="173"/>
        <v>7051.83</v>
      </c>
      <c r="M924" s="9">
        <f t="shared" si="173"/>
        <v>6954.29</v>
      </c>
      <c r="N924" s="9">
        <f t="shared" si="173"/>
        <v>81565.42</v>
      </c>
    </row>
    <row r="926" spans="1:14" x14ac:dyDescent="0.2">
      <c r="A926" s="16" t="s">
        <v>565</v>
      </c>
    </row>
    <row r="927" spans="1:14" x14ac:dyDescent="0.2">
      <c r="A927" s="17" t="s">
        <v>566</v>
      </c>
      <c r="B927" s="10">
        <v>29011.439999999999</v>
      </c>
      <c r="C927" s="10">
        <v>25515.62</v>
      </c>
      <c r="D927" s="10">
        <v>29263.91</v>
      </c>
      <c r="E927" s="10">
        <v>31222.03</v>
      </c>
      <c r="F927" s="10">
        <v>29824.7</v>
      </c>
      <c r="G927" s="10">
        <v>27098.880000000001</v>
      </c>
      <c r="H927" s="10">
        <v>24986.69</v>
      </c>
      <c r="I927" s="10">
        <v>25413.67</v>
      </c>
      <c r="J927" s="10">
        <v>25033.439999999999</v>
      </c>
      <c r="K927" s="10">
        <v>23875.55</v>
      </c>
      <c r="L927" s="10">
        <v>21380.61</v>
      </c>
      <c r="M927" s="10">
        <v>17391.439999999999</v>
      </c>
      <c r="N927" s="10">
        <f>B927+C927+D927+E927+F927+G927+H927+I927+J927+K927+L927+M927</f>
        <v>310017.98</v>
      </c>
    </row>
    <row r="928" spans="1:14" x14ac:dyDescent="0.2">
      <c r="A928" s="16" t="s">
        <v>567</v>
      </c>
      <c r="B928" s="9">
        <f t="shared" ref="B928:N928" si="174">B927</f>
        <v>29011.439999999999</v>
      </c>
      <c r="C928" s="9">
        <f t="shared" si="174"/>
        <v>25515.62</v>
      </c>
      <c r="D928" s="9">
        <f t="shared" si="174"/>
        <v>29263.91</v>
      </c>
      <c r="E928" s="9">
        <f t="shared" si="174"/>
        <v>31222.03</v>
      </c>
      <c r="F928" s="9">
        <f t="shared" si="174"/>
        <v>29824.7</v>
      </c>
      <c r="G928" s="9">
        <f t="shared" si="174"/>
        <v>27098.880000000001</v>
      </c>
      <c r="H928" s="9">
        <f t="shared" si="174"/>
        <v>24986.69</v>
      </c>
      <c r="I928" s="9">
        <f t="shared" si="174"/>
        <v>25413.67</v>
      </c>
      <c r="J928" s="9">
        <f t="shared" si="174"/>
        <v>25033.439999999999</v>
      </c>
      <c r="K928" s="9">
        <f t="shared" si="174"/>
        <v>23875.55</v>
      </c>
      <c r="L928" s="9">
        <f t="shared" si="174"/>
        <v>21380.61</v>
      </c>
      <c r="M928" s="9">
        <f t="shared" si="174"/>
        <v>17391.439999999999</v>
      </c>
      <c r="N928" s="9">
        <f t="shared" si="174"/>
        <v>310017.98</v>
      </c>
    </row>
    <row r="929" spans="1:14" x14ac:dyDescent="0.2">
      <c r="A929" s="16" t="s">
        <v>568</v>
      </c>
      <c r="B929" s="9">
        <f t="shared" ref="B929:N929" si="175">B924+B928</f>
        <v>35683.440000000002</v>
      </c>
      <c r="C929" s="9">
        <f t="shared" si="175"/>
        <v>32187.62</v>
      </c>
      <c r="D929" s="9">
        <f t="shared" si="175"/>
        <v>36179.51</v>
      </c>
      <c r="E929" s="9">
        <f t="shared" si="175"/>
        <v>38471.229999999996</v>
      </c>
      <c r="F929" s="9">
        <f t="shared" si="175"/>
        <v>35347.9</v>
      </c>
      <c r="G929" s="9">
        <f t="shared" si="175"/>
        <v>33011.43</v>
      </c>
      <c r="H929" s="9">
        <f t="shared" si="175"/>
        <v>32981.11</v>
      </c>
      <c r="I929" s="9">
        <f t="shared" si="175"/>
        <v>32370.57</v>
      </c>
      <c r="J929" s="9">
        <f t="shared" si="175"/>
        <v>31741.279999999999</v>
      </c>
      <c r="K929" s="9">
        <f t="shared" si="175"/>
        <v>30831.14</v>
      </c>
      <c r="L929" s="9">
        <f t="shared" si="175"/>
        <v>28432.440000000002</v>
      </c>
      <c r="M929" s="9">
        <f t="shared" si="175"/>
        <v>24345.73</v>
      </c>
      <c r="N929" s="9">
        <f t="shared" si="175"/>
        <v>391583.39999999997</v>
      </c>
    </row>
    <row r="931" spans="1:14" x14ac:dyDescent="0.2">
      <c r="A931" s="16" t="s">
        <v>569</v>
      </c>
    </row>
    <row r="932" spans="1:14" x14ac:dyDescent="0.2">
      <c r="A932" s="17" t="s">
        <v>570</v>
      </c>
      <c r="B932" s="10">
        <v>0</v>
      </c>
      <c r="C932" s="10">
        <v>0</v>
      </c>
      <c r="D932" s="10">
        <v>0</v>
      </c>
      <c r="E932" s="10">
        <v>7797.9</v>
      </c>
      <c r="F932" s="10">
        <v>0</v>
      </c>
      <c r="G932" s="10">
        <v>0</v>
      </c>
      <c r="H932" s="10">
        <v>0</v>
      </c>
      <c r="I932" s="10">
        <v>0</v>
      </c>
      <c r="J932" s="10">
        <v>1264.02</v>
      </c>
      <c r="K932" s="10">
        <v>0</v>
      </c>
      <c r="L932" s="10">
        <v>0</v>
      </c>
      <c r="M932" s="10">
        <v>0</v>
      </c>
      <c r="N932" s="10">
        <f t="shared" ref="N932:N938" si="176">B932+C932+D932+E932+F932+G932+H932+I932+J932+K932+L932+M932</f>
        <v>9061.92</v>
      </c>
    </row>
    <row r="933" spans="1:14" x14ac:dyDescent="0.2">
      <c r="A933" s="17" t="s">
        <v>571</v>
      </c>
      <c r="B933" s="10">
        <v>3930.84</v>
      </c>
      <c r="C933" s="10">
        <v>3362.14</v>
      </c>
      <c r="D933" s="10">
        <v>5120.16</v>
      </c>
      <c r="E933" s="10">
        <v>3976.3</v>
      </c>
      <c r="F933" s="10">
        <v>3150.32</v>
      </c>
      <c r="G933" s="10">
        <v>3203.88</v>
      </c>
      <c r="H933" s="10">
        <v>2857.5</v>
      </c>
      <c r="I933" s="10">
        <v>3957.63</v>
      </c>
      <c r="J933" s="10">
        <v>2893.56</v>
      </c>
      <c r="K933" s="10">
        <v>2547.4699999999998</v>
      </c>
      <c r="L933" s="10">
        <v>2513.4899999999998</v>
      </c>
      <c r="M933" s="10">
        <v>2486.9499999999998</v>
      </c>
      <c r="N933" s="10">
        <f t="shared" si="176"/>
        <v>40000.239999999998</v>
      </c>
    </row>
    <row r="934" spans="1:14" x14ac:dyDescent="0.2">
      <c r="A934" s="17" t="s">
        <v>572</v>
      </c>
      <c r="B934" s="10">
        <v>200.37</v>
      </c>
      <c r="C934" s="10">
        <v>168.61</v>
      </c>
      <c r="D934" s="10">
        <v>172.46</v>
      </c>
      <c r="E934" s="10">
        <v>188.3</v>
      </c>
      <c r="F934" s="10">
        <v>164.58</v>
      </c>
      <c r="G934" s="10">
        <v>187.14</v>
      </c>
      <c r="H934" s="10">
        <v>166.21</v>
      </c>
      <c r="I934" s="10">
        <v>674.2</v>
      </c>
      <c r="J934" s="10">
        <v>680.86</v>
      </c>
      <c r="K934" s="10">
        <v>583.15</v>
      </c>
      <c r="L934" s="10">
        <v>574.39</v>
      </c>
      <c r="M934" s="10">
        <v>653.03</v>
      </c>
      <c r="N934" s="10">
        <f t="shared" si="176"/>
        <v>4413.3</v>
      </c>
    </row>
    <row r="935" spans="1:14" x14ac:dyDescent="0.2">
      <c r="A935" s="17" t="s">
        <v>573</v>
      </c>
      <c r="B935" s="10">
        <v>666.88</v>
      </c>
      <c r="C935" s="10">
        <v>597.02</v>
      </c>
      <c r="D935" s="10">
        <v>396.46</v>
      </c>
      <c r="E935" s="10">
        <v>762.49</v>
      </c>
      <c r="F935" s="10">
        <v>479.36</v>
      </c>
      <c r="G935" s="10">
        <v>785.77</v>
      </c>
      <c r="H935" s="10">
        <v>638.98</v>
      </c>
      <c r="I935" s="10">
        <v>419.13</v>
      </c>
      <c r="J935" s="10">
        <v>546.35</v>
      </c>
      <c r="K935" s="10">
        <v>500.47</v>
      </c>
      <c r="L935" s="10">
        <v>464.41</v>
      </c>
      <c r="M935" s="10">
        <v>627.88</v>
      </c>
      <c r="N935" s="10">
        <f t="shared" si="176"/>
        <v>6885.2000000000016</v>
      </c>
    </row>
    <row r="936" spans="1:14" x14ac:dyDescent="0.2">
      <c r="A936" s="17" t="s">
        <v>574</v>
      </c>
      <c r="B936" s="10">
        <v>2072.5100000000002</v>
      </c>
      <c r="C936" s="10">
        <v>159.76</v>
      </c>
      <c r="D936" s="10">
        <v>1290.5</v>
      </c>
      <c r="E936" s="10">
        <v>873.6</v>
      </c>
      <c r="F936" s="10">
        <v>961.08</v>
      </c>
      <c r="G936" s="10">
        <v>2638.36</v>
      </c>
      <c r="H936" s="10">
        <v>2042.84</v>
      </c>
      <c r="I936" s="10">
        <v>1900.12</v>
      </c>
      <c r="J936" s="10">
        <v>401.84</v>
      </c>
      <c r="K936" s="10">
        <v>3550.23</v>
      </c>
      <c r="L936" s="10">
        <v>3536.32</v>
      </c>
      <c r="M936" s="10">
        <v>650.32000000000005</v>
      </c>
      <c r="N936" s="10">
        <f t="shared" si="176"/>
        <v>20077.48</v>
      </c>
    </row>
    <row r="937" spans="1:14" x14ac:dyDescent="0.2">
      <c r="A937" s="17" t="s">
        <v>575</v>
      </c>
      <c r="B937" s="10">
        <v>143.78</v>
      </c>
      <c r="C937" s="10">
        <v>1238.1400000000001</v>
      </c>
      <c r="D937" s="10">
        <v>627.29999999999995</v>
      </c>
      <c r="E937" s="10">
        <v>872.16</v>
      </c>
      <c r="F937" s="10">
        <v>462.36</v>
      </c>
      <c r="G937" s="10">
        <v>740.6</v>
      </c>
      <c r="H937" s="10">
        <v>802.32</v>
      </c>
      <c r="I937" s="10">
        <v>1754.6</v>
      </c>
      <c r="J937" s="10">
        <v>469.92</v>
      </c>
      <c r="K937" s="10">
        <v>526.96</v>
      </c>
      <c r="L937" s="10">
        <v>345.28</v>
      </c>
      <c r="M937" s="10">
        <v>733.92</v>
      </c>
      <c r="N937" s="10">
        <f t="shared" si="176"/>
        <v>8717.34</v>
      </c>
    </row>
    <row r="938" spans="1:14" x14ac:dyDescent="0.2">
      <c r="A938" s="17" t="s">
        <v>576</v>
      </c>
      <c r="B938" s="10">
        <v>3482.69</v>
      </c>
      <c r="C938" s="10">
        <v>0</v>
      </c>
      <c r="D938" s="10">
        <v>1629.71</v>
      </c>
      <c r="E938" s="10">
        <v>0</v>
      </c>
      <c r="F938" s="10">
        <v>0</v>
      </c>
      <c r="G938" s="10">
        <v>3512.89</v>
      </c>
      <c r="H938" s="10">
        <v>1654.02</v>
      </c>
      <c r="I938" s="10">
        <v>0</v>
      </c>
      <c r="J938" s="10">
        <v>1571.07</v>
      </c>
      <c r="K938" s="10">
        <v>0</v>
      </c>
      <c r="L938" s="10">
        <v>0</v>
      </c>
      <c r="M938" s="10">
        <v>1410.21</v>
      </c>
      <c r="N938" s="10">
        <f t="shared" si="176"/>
        <v>13260.59</v>
      </c>
    </row>
    <row r="939" spans="1:14" x14ac:dyDescent="0.2">
      <c r="A939" s="16" t="s">
        <v>577</v>
      </c>
      <c r="B939" s="9">
        <f t="shared" ref="B939:N939" si="177">SUM(B932:B938)</f>
        <v>10497.07</v>
      </c>
      <c r="C939" s="9">
        <f t="shared" si="177"/>
        <v>5525.670000000001</v>
      </c>
      <c r="D939" s="9">
        <f t="shared" si="177"/>
        <v>9236.59</v>
      </c>
      <c r="E939" s="9">
        <f t="shared" si="177"/>
        <v>14470.75</v>
      </c>
      <c r="F939" s="9">
        <f t="shared" si="177"/>
        <v>5217.7</v>
      </c>
      <c r="G939" s="9">
        <f t="shared" si="177"/>
        <v>11068.64</v>
      </c>
      <c r="H939" s="9">
        <f t="shared" si="177"/>
        <v>8161.869999999999</v>
      </c>
      <c r="I939" s="9">
        <f t="shared" si="177"/>
        <v>8705.68</v>
      </c>
      <c r="J939" s="9">
        <f t="shared" si="177"/>
        <v>7827.62</v>
      </c>
      <c r="K939" s="9">
        <f t="shared" si="177"/>
        <v>7708.28</v>
      </c>
      <c r="L939" s="9">
        <f t="shared" si="177"/>
        <v>7433.8899999999994</v>
      </c>
      <c r="M939" s="9">
        <f t="shared" si="177"/>
        <v>6562.3099999999995</v>
      </c>
      <c r="N939" s="9">
        <f t="shared" si="177"/>
        <v>102416.06999999999</v>
      </c>
    </row>
    <row r="940" spans="1:14" ht="4.95" customHeight="1" x14ac:dyDescent="0.2">
      <c r="A940" s="11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</row>
    <row r="941" spans="1:14" ht="4.95" customHeight="1" x14ac:dyDescent="0.2"/>
    <row r="942" spans="1:14" x14ac:dyDescent="0.2">
      <c r="A942" s="16" t="s">
        <v>578</v>
      </c>
      <c r="B942" s="9">
        <f t="shared" ref="B942:N942" si="178">B929+B939</f>
        <v>46180.51</v>
      </c>
      <c r="C942" s="9">
        <f t="shared" si="178"/>
        <v>37713.29</v>
      </c>
      <c r="D942" s="9">
        <f t="shared" si="178"/>
        <v>45416.100000000006</v>
      </c>
      <c r="E942" s="9">
        <f t="shared" si="178"/>
        <v>52941.979999999996</v>
      </c>
      <c r="F942" s="9">
        <f t="shared" si="178"/>
        <v>40565.599999999999</v>
      </c>
      <c r="G942" s="9">
        <f t="shared" si="178"/>
        <v>44080.07</v>
      </c>
      <c r="H942" s="9">
        <f t="shared" si="178"/>
        <v>41142.979999999996</v>
      </c>
      <c r="I942" s="9">
        <f t="shared" si="178"/>
        <v>41076.25</v>
      </c>
      <c r="J942" s="9">
        <f t="shared" si="178"/>
        <v>39568.9</v>
      </c>
      <c r="K942" s="9">
        <f t="shared" si="178"/>
        <v>38539.42</v>
      </c>
      <c r="L942" s="9">
        <f t="shared" si="178"/>
        <v>35866.33</v>
      </c>
      <c r="M942" s="9">
        <f t="shared" si="178"/>
        <v>30908.04</v>
      </c>
      <c r="N942" s="9">
        <f t="shared" si="178"/>
        <v>493999.47</v>
      </c>
    </row>
    <row r="943" spans="1:14" ht="4.95" customHeight="1" x14ac:dyDescent="0.2"/>
    <row r="944" spans="1:14" x14ac:dyDescent="0.2">
      <c r="A944" s="16" t="s">
        <v>112</v>
      </c>
    </row>
    <row r="945" spans="1:14" x14ac:dyDescent="0.2">
      <c r="A945" s="17" t="s">
        <v>579</v>
      </c>
      <c r="B945" s="10">
        <v>1869.59</v>
      </c>
      <c r="C945" s="10">
        <v>0</v>
      </c>
      <c r="D945" s="10">
        <v>0</v>
      </c>
      <c r="E945" s="10">
        <v>0</v>
      </c>
      <c r="F945" s="10">
        <v>0</v>
      </c>
      <c r="G945" s="10">
        <v>0</v>
      </c>
      <c r="H945" s="10">
        <v>0</v>
      </c>
      <c r="I945" s="10">
        <v>0</v>
      </c>
      <c r="J945" s="10">
        <v>0</v>
      </c>
      <c r="K945" s="10">
        <v>0</v>
      </c>
      <c r="L945" s="10">
        <v>0</v>
      </c>
      <c r="M945" s="10">
        <v>0</v>
      </c>
      <c r="N945" s="10">
        <f t="shared" ref="N945:N974" si="179">B945+C945+D945+E945+F945+G945+H945+I945+J945+K945+L945+M945</f>
        <v>1869.59</v>
      </c>
    </row>
    <row r="946" spans="1:14" x14ac:dyDescent="0.2">
      <c r="A946" s="17" t="s">
        <v>580</v>
      </c>
      <c r="B946" s="10">
        <v>4825.4399999999996</v>
      </c>
      <c r="C946" s="10">
        <v>1769.32</v>
      </c>
      <c r="D946" s="10">
        <v>938.44</v>
      </c>
      <c r="E946" s="10">
        <v>629.96</v>
      </c>
      <c r="F946" s="10">
        <v>1244.93</v>
      </c>
      <c r="G946" s="10">
        <v>2420.21</v>
      </c>
      <c r="H946" s="10">
        <v>785.25</v>
      </c>
      <c r="I946" s="10">
        <v>2559.75</v>
      </c>
      <c r="J946" s="10">
        <v>1932.71</v>
      </c>
      <c r="K946" s="10">
        <v>2850.04</v>
      </c>
      <c r="L946" s="10">
        <v>725.69</v>
      </c>
      <c r="M946" s="10">
        <v>2595.8000000000002</v>
      </c>
      <c r="N946" s="10">
        <f t="shared" si="179"/>
        <v>23277.539999999997</v>
      </c>
    </row>
    <row r="947" spans="1:14" x14ac:dyDescent="0.2">
      <c r="A947" s="17" t="s">
        <v>581</v>
      </c>
      <c r="B947" s="10">
        <v>1874.5</v>
      </c>
      <c r="C947" s="10">
        <v>2003.65</v>
      </c>
      <c r="D947" s="10">
        <v>2738.76</v>
      </c>
      <c r="E947" s="10">
        <v>2234.87</v>
      </c>
      <c r="F947" s="10">
        <v>3171.94</v>
      </c>
      <c r="G947" s="10">
        <v>2549.85</v>
      </c>
      <c r="H947" s="10">
        <v>3391.38</v>
      </c>
      <c r="I947" s="10">
        <v>2145.17</v>
      </c>
      <c r="J947" s="10">
        <v>3057.7</v>
      </c>
      <c r="K947" s="10">
        <v>2342.37</v>
      </c>
      <c r="L947" s="10">
        <v>2965.91</v>
      </c>
      <c r="M947" s="10">
        <v>2294.17</v>
      </c>
      <c r="N947" s="10">
        <f t="shared" si="179"/>
        <v>30770.270000000004</v>
      </c>
    </row>
    <row r="948" spans="1:14" x14ac:dyDescent="0.2">
      <c r="A948" s="17" t="s">
        <v>582</v>
      </c>
      <c r="B948" s="10">
        <v>2693.18</v>
      </c>
      <c r="C948" s="10">
        <v>2226.5</v>
      </c>
      <c r="D948" s="10">
        <v>3409.77</v>
      </c>
      <c r="E948" s="10">
        <v>3925.46</v>
      </c>
      <c r="F948" s="10">
        <v>1035.5999999999999</v>
      </c>
      <c r="G948" s="10">
        <v>3406.81</v>
      </c>
      <c r="H948" s="10">
        <v>3389.4</v>
      </c>
      <c r="I948" s="10">
        <v>4017.07</v>
      </c>
      <c r="J948" s="10">
        <v>6387.09</v>
      </c>
      <c r="K948" s="10">
        <v>1174.9100000000001</v>
      </c>
      <c r="L948" s="10">
        <v>1366.07</v>
      </c>
      <c r="M948" s="10">
        <v>-2454.4499999999998</v>
      </c>
      <c r="N948" s="10">
        <f t="shared" si="179"/>
        <v>30577.41</v>
      </c>
    </row>
    <row r="949" spans="1:14" x14ac:dyDescent="0.2">
      <c r="A949" s="17" t="s">
        <v>583</v>
      </c>
      <c r="B949" s="10">
        <v>0</v>
      </c>
      <c r="C949" s="10">
        <v>0</v>
      </c>
      <c r="D949" s="10">
        <v>0</v>
      </c>
      <c r="E949" s="10">
        <v>0</v>
      </c>
      <c r="F949" s="10">
        <v>479.32</v>
      </c>
      <c r="G949" s="10">
        <v>476.19</v>
      </c>
      <c r="H949" s="10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f t="shared" si="179"/>
        <v>955.51</v>
      </c>
    </row>
    <row r="950" spans="1:14" x14ac:dyDescent="0.2">
      <c r="A950" s="17" t="s">
        <v>584</v>
      </c>
      <c r="B950" s="10">
        <v>4133.4399999999996</v>
      </c>
      <c r="C950" s="10">
        <v>5118.04</v>
      </c>
      <c r="D950" s="10">
        <v>4133.4399999999996</v>
      </c>
      <c r="E950" s="10">
        <v>4133.4399999999996</v>
      </c>
      <c r="F950" s="10">
        <v>4133.4399999999996</v>
      </c>
      <c r="G950" s="10">
        <v>6605.6</v>
      </c>
      <c r="H950" s="10">
        <v>9996.9699999999993</v>
      </c>
      <c r="I950" s="10">
        <v>6600.4</v>
      </c>
      <c r="J950" s="10">
        <v>7240.12</v>
      </c>
      <c r="K950" s="10">
        <v>126.29</v>
      </c>
      <c r="L950" s="10">
        <v>5268.14</v>
      </c>
      <c r="M950" s="10">
        <v>1760.53</v>
      </c>
      <c r="N950" s="10">
        <f t="shared" si="179"/>
        <v>59249.85</v>
      </c>
    </row>
    <row r="951" spans="1:14" x14ac:dyDescent="0.2">
      <c r="A951" s="17" t="s">
        <v>585</v>
      </c>
      <c r="B951" s="10">
        <v>77.33</v>
      </c>
      <c r="C951" s="10">
        <v>930.06</v>
      </c>
      <c r="D951" s="10">
        <v>274.55</v>
      </c>
      <c r="E951" s="10">
        <v>150.21</v>
      </c>
      <c r="F951" s="10">
        <v>1594.48</v>
      </c>
      <c r="G951" s="10">
        <v>588.95000000000005</v>
      </c>
      <c r="H951" s="10">
        <v>0</v>
      </c>
      <c r="I951" s="10">
        <v>740.97</v>
      </c>
      <c r="J951" s="10">
        <v>908.37</v>
      </c>
      <c r="K951" s="10">
        <v>482.06</v>
      </c>
      <c r="L951" s="10">
        <v>2371.44</v>
      </c>
      <c r="M951" s="10">
        <v>14.57</v>
      </c>
      <c r="N951" s="10">
        <f t="shared" si="179"/>
        <v>8132.99</v>
      </c>
    </row>
    <row r="952" spans="1:14" x14ac:dyDescent="0.2">
      <c r="A952" s="17" t="s">
        <v>586</v>
      </c>
      <c r="B952" s="10">
        <v>192.22</v>
      </c>
      <c r="C952" s="10">
        <v>192.22</v>
      </c>
      <c r="D952" s="10">
        <v>192.22</v>
      </c>
      <c r="E952" s="10">
        <v>192.22</v>
      </c>
      <c r="F952" s="10">
        <v>192.22</v>
      </c>
      <c r="G952" s="10">
        <v>192.22</v>
      </c>
      <c r="H952" s="10">
        <v>192.22</v>
      </c>
      <c r="I952" s="10">
        <v>2664.88</v>
      </c>
      <c r="J952" s="10">
        <v>2664.88</v>
      </c>
      <c r="K952" s="10">
        <v>192.22</v>
      </c>
      <c r="L952" s="10">
        <v>150</v>
      </c>
      <c r="M952" s="10">
        <v>-2322.66</v>
      </c>
      <c r="N952" s="10">
        <f t="shared" si="179"/>
        <v>4694.8600000000006</v>
      </c>
    </row>
    <row r="953" spans="1:14" x14ac:dyDescent="0.2">
      <c r="A953" s="17" t="s">
        <v>587</v>
      </c>
      <c r="B953" s="10">
        <v>0</v>
      </c>
      <c r="C953" s="10">
        <v>0</v>
      </c>
      <c r="D953" s="10">
        <v>0</v>
      </c>
      <c r="E953" s="10">
        <v>1609.05</v>
      </c>
      <c r="F953" s="10">
        <v>1975.63</v>
      </c>
      <c r="G953" s="10">
        <v>-366.58</v>
      </c>
      <c r="H953" s="10">
        <v>0</v>
      </c>
      <c r="I953" s="10">
        <v>1806</v>
      </c>
      <c r="J953" s="10">
        <v>1761.65</v>
      </c>
      <c r="K953" s="10">
        <v>0</v>
      </c>
      <c r="L953" s="10">
        <v>0</v>
      </c>
      <c r="M953" s="10">
        <v>0</v>
      </c>
      <c r="N953" s="10">
        <f t="shared" si="179"/>
        <v>6785.75</v>
      </c>
    </row>
    <row r="954" spans="1:14" x14ac:dyDescent="0.2">
      <c r="A954" s="17" t="s">
        <v>588</v>
      </c>
      <c r="B954" s="10">
        <v>1271.9100000000001</v>
      </c>
      <c r="C954" s="10">
        <v>1250.29</v>
      </c>
      <c r="D954" s="10">
        <v>3474.75</v>
      </c>
      <c r="E954" s="10">
        <v>3567.99</v>
      </c>
      <c r="F954" s="10">
        <v>3945.87</v>
      </c>
      <c r="G954" s="10">
        <v>1527.02</v>
      </c>
      <c r="H954" s="10">
        <v>2542.8000000000002</v>
      </c>
      <c r="I954" s="10">
        <v>1331.56</v>
      </c>
      <c r="J954" s="10">
        <v>1250.29</v>
      </c>
      <c r="K954" s="10">
        <v>1250.29</v>
      </c>
      <c r="L954" s="10">
        <v>1250.29</v>
      </c>
      <c r="M954" s="10">
        <v>1577.6</v>
      </c>
      <c r="N954" s="10">
        <f t="shared" si="179"/>
        <v>24240.66</v>
      </c>
    </row>
    <row r="955" spans="1:14" x14ac:dyDescent="0.2">
      <c r="A955" s="17" t="s">
        <v>589</v>
      </c>
      <c r="B955" s="10">
        <v>2865.27</v>
      </c>
      <c r="C955" s="10">
        <v>2109.31</v>
      </c>
      <c r="D955" s="10">
        <v>2920.9</v>
      </c>
      <c r="E955" s="10">
        <v>2169.1999999999998</v>
      </c>
      <c r="F955" s="10">
        <v>2243.67</v>
      </c>
      <c r="G955" s="10">
        <v>-321.79000000000002</v>
      </c>
      <c r="H955" s="10">
        <v>864.14</v>
      </c>
      <c r="I955" s="10">
        <v>3117.03</v>
      </c>
      <c r="J955" s="10">
        <v>613.71</v>
      </c>
      <c r="K955" s="10">
        <v>1157.54</v>
      </c>
      <c r="L955" s="10">
        <v>889.38</v>
      </c>
      <c r="M955" s="10">
        <v>2217.88</v>
      </c>
      <c r="N955" s="10">
        <f t="shared" si="179"/>
        <v>20846.240000000002</v>
      </c>
    </row>
    <row r="956" spans="1:14" x14ac:dyDescent="0.2">
      <c r="A956" s="17" t="s">
        <v>590</v>
      </c>
      <c r="B956" s="10">
        <v>1810</v>
      </c>
      <c r="C956" s="10">
        <v>1214.71</v>
      </c>
      <c r="D956" s="10">
        <v>1207.71</v>
      </c>
      <c r="E956" s="10">
        <v>3227.98</v>
      </c>
      <c r="F956" s="10">
        <v>0</v>
      </c>
      <c r="G956" s="10">
        <v>0</v>
      </c>
      <c r="H956" s="10">
        <v>1613.59</v>
      </c>
      <c r="I956" s="10">
        <v>1424.93</v>
      </c>
      <c r="J956" s="10">
        <v>3282.64</v>
      </c>
      <c r="K956" s="10">
        <v>1013.26</v>
      </c>
      <c r="L956" s="10">
        <v>4059.38</v>
      </c>
      <c r="M956" s="10">
        <v>744.37</v>
      </c>
      <c r="N956" s="10">
        <f t="shared" si="179"/>
        <v>19598.57</v>
      </c>
    </row>
    <row r="957" spans="1:14" x14ac:dyDescent="0.2">
      <c r="A957" s="17" t="s">
        <v>591</v>
      </c>
      <c r="B957" s="10">
        <v>785.64</v>
      </c>
      <c r="C957" s="10">
        <v>6474.18</v>
      </c>
      <c r="D957" s="10">
        <v>604.86</v>
      </c>
      <c r="E957" s="10">
        <v>495.07</v>
      </c>
      <c r="F957" s="10">
        <v>0</v>
      </c>
      <c r="G957" s="10">
        <v>0</v>
      </c>
      <c r="H957" s="10">
        <v>0</v>
      </c>
      <c r="I957" s="10">
        <v>649.39</v>
      </c>
      <c r="J957" s="10">
        <v>2793</v>
      </c>
      <c r="K957" s="10">
        <v>659.96</v>
      </c>
      <c r="L957" s="10">
        <v>174.3</v>
      </c>
      <c r="M957" s="10">
        <v>670.88</v>
      </c>
      <c r="N957" s="10">
        <f t="shared" si="179"/>
        <v>13307.279999999997</v>
      </c>
    </row>
    <row r="958" spans="1:14" x14ac:dyDescent="0.2">
      <c r="A958" s="17" t="s">
        <v>592</v>
      </c>
      <c r="B958" s="10">
        <v>378.35</v>
      </c>
      <c r="C958" s="10">
        <v>581.04</v>
      </c>
      <c r="D958" s="10">
        <v>514.28</v>
      </c>
      <c r="E958" s="10">
        <v>514.28</v>
      </c>
      <c r="F958" s="10">
        <v>514.33000000000004</v>
      </c>
      <c r="G958" s="10">
        <v>519.45000000000005</v>
      </c>
      <c r="H958" s="10">
        <v>729.02</v>
      </c>
      <c r="I958" s="10">
        <v>556.54999999999995</v>
      </c>
      <c r="J958" s="10">
        <v>556.54999999999995</v>
      </c>
      <c r="K958" s="10">
        <v>1160.3499999999999</v>
      </c>
      <c r="L958" s="10">
        <v>810.35</v>
      </c>
      <c r="M958" s="10">
        <v>810.36</v>
      </c>
      <c r="N958" s="10">
        <f t="shared" si="179"/>
        <v>7644.9100000000008</v>
      </c>
    </row>
    <row r="959" spans="1:14" x14ac:dyDescent="0.2">
      <c r="A959" s="17" t="s">
        <v>593</v>
      </c>
      <c r="B959" s="10">
        <v>3633.89</v>
      </c>
      <c r="C959" s="10">
        <v>6321.32</v>
      </c>
      <c r="D959" s="10">
        <v>309.49</v>
      </c>
      <c r="E959" s="10">
        <v>826.28</v>
      </c>
      <c r="F959" s="10">
        <v>435.57</v>
      </c>
      <c r="G959" s="10">
        <v>1352.44</v>
      </c>
      <c r="H959" s="10">
        <v>1442.12</v>
      </c>
      <c r="I959" s="10">
        <v>742.41</v>
      </c>
      <c r="J959" s="10">
        <v>1169.08</v>
      </c>
      <c r="K959" s="10">
        <v>13231.88</v>
      </c>
      <c r="L959" s="10">
        <v>2172.1999999999998</v>
      </c>
      <c r="M959" s="10">
        <v>8063.93</v>
      </c>
      <c r="N959" s="10">
        <f t="shared" si="179"/>
        <v>39700.61</v>
      </c>
    </row>
    <row r="960" spans="1:14" x14ac:dyDescent="0.2">
      <c r="A960" s="17" t="s">
        <v>594</v>
      </c>
      <c r="B960" s="10">
        <v>480.88</v>
      </c>
      <c r="C960" s="10">
        <v>215.55</v>
      </c>
      <c r="D960" s="10">
        <v>1561.21</v>
      </c>
      <c r="E960" s="10">
        <v>1724.61</v>
      </c>
      <c r="F960" s="10">
        <v>-186.71</v>
      </c>
      <c r="G960" s="10">
        <v>0</v>
      </c>
      <c r="H960" s="10">
        <v>191.58</v>
      </c>
      <c r="I960" s="10">
        <v>1398.61</v>
      </c>
      <c r="J960" s="10">
        <v>96.29</v>
      </c>
      <c r="K960" s="10">
        <v>2669.08</v>
      </c>
      <c r="L960" s="10">
        <v>1736.36</v>
      </c>
      <c r="M960" s="10">
        <v>-552.95000000000005</v>
      </c>
      <c r="N960" s="10">
        <f t="shared" si="179"/>
        <v>9334.5099999999984</v>
      </c>
    </row>
    <row r="961" spans="1:14" x14ac:dyDescent="0.2">
      <c r="A961" s="17" t="s">
        <v>595</v>
      </c>
      <c r="B961" s="10">
        <v>114.46</v>
      </c>
      <c r="C961" s="10">
        <v>1695.74</v>
      </c>
      <c r="D961" s="10">
        <v>851.22</v>
      </c>
      <c r="E961" s="10">
        <v>363.14</v>
      </c>
      <c r="F961" s="10">
        <v>1235.8</v>
      </c>
      <c r="G961" s="10">
        <v>365.54</v>
      </c>
      <c r="H961" s="10">
        <v>268.3</v>
      </c>
      <c r="I961" s="10">
        <v>1805.67</v>
      </c>
      <c r="J961" s="10">
        <v>592.24</v>
      </c>
      <c r="K961" s="10">
        <v>1005.6</v>
      </c>
      <c r="L961" s="10">
        <v>0</v>
      </c>
      <c r="M961" s="10">
        <v>0</v>
      </c>
      <c r="N961" s="10">
        <f t="shared" si="179"/>
        <v>8297.7099999999991</v>
      </c>
    </row>
    <row r="962" spans="1:14" x14ac:dyDescent="0.2">
      <c r="A962" s="17" t="s">
        <v>596</v>
      </c>
      <c r="B962" s="10">
        <v>8417.19</v>
      </c>
      <c r="C962" s="10">
        <v>4252.91</v>
      </c>
      <c r="D962" s="10">
        <v>7404.29</v>
      </c>
      <c r="E962" s="10">
        <v>11616.66</v>
      </c>
      <c r="F962" s="10">
        <v>9711.75</v>
      </c>
      <c r="G962" s="10">
        <v>8437.9500000000007</v>
      </c>
      <c r="H962" s="10">
        <v>638.11</v>
      </c>
      <c r="I962" s="10">
        <v>8177.49</v>
      </c>
      <c r="J962" s="10">
        <v>12851.73</v>
      </c>
      <c r="K962" s="10">
        <v>7594.66</v>
      </c>
      <c r="L962" s="10">
        <v>2489.2199999999998</v>
      </c>
      <c r="M962" s="10">
        <v>4698.7</v>
      </c>
      <c r="N962" s="10">
        <f t="shared" si="179"/>
        <v>86290.66</v>
      </c>
    </row>
    <row r="963" spans="1:14" x14ac:dyDescent="0.2">
      <c r="A963" s="17" t="s">
        <v>597</v>
      </c>
      <c r="B963" s="10">
        <v>23.96</v>
      </c>
      <c r="C963" s="10">
        <v>5.0199999999999996</v>
      </c>
      <c r="D963" s="10">
        <v>14.37</v>
      </c>
      <c r="E963" s="10">
        <v>17.59</v>
      </c>
      <c r="F963" s="10">
        <v>0</v>
      </c>
      <c r="G963" s="10">
        <v>0</v>
      </c>
      <c r="H963" s="10">
        <v>0</v>
      </c>
      <c r="I963" s="10">
        <v>0</v>
      </c>
      <c r="J963" s="10">
        <v>0</v>
      </c>
      <c r="K963" s="10">
        <v>0</v>
      </c>
      <c r="L963" s="10">
        <v>124.62</v>
      </c>
      <c r="M963" s="10">
        <v>0</v>
      </c>
      <c r="N963" s="10">
        <f t="shared" si="179"/>
        <v>185.56</v>
      </c>
    </row>
    <row r="964" spans="1:14" x14ac:dyDescent="0.2">
      <c r="A964" s="17" t="s">
        <v>598</v>
      </c>
      <c r="B964" s="10">
        <v>806.54</v>
      </c>
      <c r="C964" s="10">
        <v>1128.56</v>
      </c>
      <c r="D964" s="10">
        <v>2741.03</v>
      </c>
      <c r="E964" s="10">
        <v>1299.53</v>
      </c>
      <c r="F964" s="10">
        <v>806.54</v>
      </c>
      <c r="G964" s="10">
        <v>806.54</v>
      </c>
      <c r="H964" s="10">
        <v>1039.71</v>
      </c>
      <c r="I964" s="10">
        <v>2093.3200000000002</v>
      </c>
      <c r="J964" s="10">
        <v>806.54</v>
      </c>
      <c r="K964" s="10">
        <v>826.71</v>
      </c>
      <c r="L964" s="10">
        <v>1075.25</v>
      </c>
      <c r="M964" s="10">
        <v>826.71</v>
      </c>
      <c r="N964" s="10">
        <f t="shared" si="179"/>
        <v>14256.98</v>
      </c>
    </row>
    <row r="965" spans="1:14" x14ac:dyDescent="0.2">
      <c r="A965" s="17" t="s">
        <v>599</v>
      </c>
      <c r="B965" s="10">
        <v>0</v>
      </c>
      <c r="C965" s="10">
        <v>0</v>
      </c>
      <c r="D965" s="10">
        <v>0</v>
      </c>
      <c r="E965" s="10">
        <v>277.24</v>
      </c>
      <c r="F965" s="10">
        <v>167.22</v>
      </c>
      <c r="G965" s="10">
        <v>352</v>
      </c>
      <c r="H965" s="10">
        <v>0</v>
      </c>
      <c r="I965" s="10">
        <v>0</v>
      </c>
      <c r="J965" s="10">
        <v>1650</v>
      </c>
      <c r="K965" s="10">
        <v>0</v>
      </c>
      <c r="L965" s="10">
        <v>89.06</v>
      </c>
      <c r="M965" s="10">
        <v>-44.53</v>
      </c>
      <c r="N965" s="10">
        <f t="shared" si="179"/>
        <v>2490.9899999999998</v>
      </c>
    </row>
    <row r="966" spans="1:14" x14ac:dyDescent="0.2">
      <c r="A966" s="17" t="s">
        <v>600</v>
      </c>
      <c r="B966" s="10">
        <v>0</v>
      </c>
      <c r="C966" s="10">
        <v>0</v>
      </c>
      <c r="D966" s="10">
        <v>11.6</v>
      </c>
      <c r="E966" s="10">
        <v>20.239999999999998</v>
      </c>
      <c r="F966" s="10">
        <v>0</v>
      </c>
      <c r="G966" s="10">
        <v>0</v>
      </c>
      <c r="H966" s="10">
        <v>0</v>
      </c>
      <c r="I966" s="10">
        <v>500</v>
      </c>
      <c r="J966" s="10">
        <v>22.75</v>
      </c>
      <c r="K966" s="10">
        <v>0</v>
      </c>
      <c r="L966" s="10">
        <v>176.45</v>
      </c>
      <c r="M966" s="10">
        <v>78.22</v>
      </c>
      <c r="N966" s="10">
        <f t="shared" si="179"/>
        <v>809.26</v>
      </c>
    </row>
    <row r="967" spans="1:14" x14ac:dyDescent="0.2">
      <c r="A967" s="17" t="s">
        <v>601</v>
      </c>
      <c r="B967" s="10">
        <v>0</v>
      </c>
      <c r="C967" s="10">
        <v>0</v>
      </c>
      <c r="D967" s="10">
        <v>0</v>
      </c>
      <c r="E967" s="10">
        <v>0</v>
      </c>
      <c r="F967" s="10">
        <v>0</v>
      </c>
      <c r="G967" s="10">
        <v>0</v>
      </c>
      <c r="H967" s="10">
        <v>0</v>
      </c>
      <c r="I967" s="10">
        <v>0</v>
      </c>
      <c r="J967" s="10">
        <v>0</v>
      </c>
      <c r="K967" s="10">
        <v>1785.04</v>
      </c>
      <c r="L967" s="10">
        <v>0</v>
      </c>
      <c r="M967" s="10">
        <v>0</v>
      </c>
      <c r="N967" s="10">
        <f t="shared" si="179"/>
        <v>1785.04</v>
      </c>
    </row>
    <row r="968" spans="1:14" x14ac:dyDescent="0.2">
      <c r="A968" s="17" t="s">
        <v>602</v>
      </c>
      <c r="B968" s="10">
        <v>218.53</v>
      </c>
      <c r="C968" s="10">
        <v>218.53</v>
      </c>
      <c r="D968" s="10">
        <v>1028.6300000000001</v>
      </c>
      <c r="E968" s="10">
        <v>424.21</v>
      </c>
      <c r="F968" s="10">
        <v>218.53</v>
      </c>
      <c r="G968" s="10">
        <v>364.67</v>
      </c>
      <c r="H968" s="10">
        <v>1418.53</v>
      </c>
      <c r="I968" s="10">
        <v>218.53</v>
      </c>
      <c r="J968" s="10">
        <v>218.53</v>
      </c>
      <c r="K968" s="10">
        <v>218.53</v>
      </c>
      <c r="L968" s="10">
        <v>218.53</v>
      </c>
      <c r="M968" s="10">
        <v>72.39</v>
      </c>
      <c r="N968" s="10">
        <f t="shared" si="179"/>
        <v>4838.1399999999994</v>
      </c>
    </row>
    <row r="969" spans="1:14" x14ac:dyDescent="0.2">
      <c r="A969" s="17" t="s">
        <v>603</v>
      </c>
      <c r="B969" s="10">
        <v>850.46</v>
      </c>
      <c r="C969" s="10">
        <v>0</v>
      </c>
      <c r="D969" s="10">
        <v>1623.75</v>
      </c>
      <c r="E969" s="10">
        <v>-1623.75</v>
      </c>
      <c r="F969" s="10">
        <v>136.33000000000001</v>
      </c>
      <c r="G969" s="10">
        <v>0</v>
      </c>
      <c r="H969" s="10">
        <v>546.55999999999995</v>
      </c>
      <c r="I969" s="10">
        <v>0</v>
      </c>
      <c r="J969" s="10">
        <v>0</v>
      </c>
      <c r="K969" s="10">
        <v>0</v>
      </c>
      <c r="L969" s="10">
        <v>0</v>
      </c>
      <c r="M969" s="10">
        <v>0</v>
      </c>
      <c r="N969" s="10">
        <f t="shared" si="179"/>
        <v>1533.35</v>
      </c>
    </row>
    <row r="970" spans="1:14" x14ac:dyDescent="0.2">
      <c r="A970" s="17" t="s">
        <v>604</v>
      </c>
      <c r="B970" s="10">
        <v>0</v>
      </c>
      <c r="C970" s="10">
        <v>60.71</v>
      </c>
      <c r="D970" s="10">
        <v>0</v>
      </c>
      <c r="E970" s="10">
        <v>0</v>
      </c>
      <c r="F970" s="10">
        <v>0</v>
      </c>
      <c r="G970" s="10">
        <v>0</v>
      </c>
      <c r="H970" s="10">
        <v>0</v>
      </c>
      <c r="I970" s="10">
        <v>649.5</v>
      </c>
      <c r="J970" s="10">
        <v>-649.5</v>
      </c>
      <c r="K970" s="10">
        <v>0</v>
      </c>
      <c r="L970" s="10">
        <v>0</v>
      </c>
      <c r="M970" s="10">
        <v>0</v>
      </c>
      <c r="N970" s="10">
        <f t="shared" si="179"/>
        <v>60.710000000000036</v>
      </c>
    </row>
    <row r="971" spans="1:14" x14ac:dyDescent="0.2">
      <c r="A971" s="17" t="s">
        <v>605</v>
      </c>
      <c r="B971" s="10">
        <v>0</v>
      </c>
      <c r="C971" s="10">
        <v>674.53</v>
      </c>
      <c r="D971" s="10">
        <v>17.68</v>
      </c>
      <c r="E971" s="10">
        <v>0</v>
      </c>
      <c r="F971" s="10">
        <v>486.54</v>
      </c>
      <c r="G971" s="10">
        <v>0</v>
      </c>
      <c r="H971" s="10">
        <v>-11.75</v>
      </c>
      <c r="I971" s="10">
        <v>0</v>
      </c>
      <c r="J971" s="10">
        <v>18</v>
      </c>
      <c r="K971" s="10">
        <v>0</v>
      </c>
      <c r="L971" s="10">
        <v>0</v>
      </c>
      <c r="M971" s="10">
        <v>0</v>
      </c>
      <c r="N971" s="10">
        <f t="shared" si="179"/>
        <v>1185</v>
      </c>
    </row>
    <row r="972" spans="1:14" x14ac:dyDescent="0.2">
      <c r="A972" s="17" t="s">
        <v>606</v>
      </c>
      <c r="B972" s="10">
        <v>0</v>
      </c>
      <c r="C972" s="10">
        <v>0</v>
      </c>
      <c r="D972" s="10">
        <v>0</v>
      </c>
      <c r="E972" s="10">
        <v>0</v>
      </c>
      <c r="F972" s="10">
        <v>0</v>
      </c>
      <c r="G972" s="10">
        <v>0</v>
      </c>
      <c r="H972" s="10">
        <v>0</v>
      </c>
      <c r="I972" s="10">
        <v>0</v>
      </c>
      <c r="J972" s="10">
        <v>0</v>
      </c>
      <c r="K972" s="10">
        <v>0</v>
      </c>
      <c r="L972" s="10">
        <v>3729.03</v>
      </c>
      <c r="M972" s="10">
        <v>0</v>
      </c>
      <c r="N972" s="10">
        <f t="shared" si="179"/>
        <v>3729.03</v>
      </c>
    </row>
    <row r="973" spans="1:14" x14ac:dyDescent="0.2">
      <c r="A973" s="17" t="s">
        <v>607</v>
      </c>
      <c r="B973" s="10">
        <v>1280.76</v>
      </c>
      <c r="C973" s="10">
        <v>1426.79</v>
      </c>
      <c r="D973" s="10">
        <v>974.25</v>
      </c>
      <c r="E973" s="10">
        <v>974.25</v>
      </c>
      <c r="F973" s="10">
        <v>974.25</v>
      </c>
      <c r="G973" s="10">
        <v>974.25</v>
      </c>
      <c r="H973" s="10">
        <v>974.25</v>
      </c>
      <c r="I973" s="10">
        <v>1607.52</v>
      </c>
      <c r="J973" s="10">
        <v>1217.81</v>
      </c>
      <c r="K973" s="10">
        <v>974.25</v>
      </c>
      <c r="L973" s="10">
        <v>974.25</v>
      </c>
      <c r="M973" s="10">
        <v>974.25</v>
      </c>
      <c r="N973" s="10">
        <f t="shared" si="179"/>
        <v>13326.88</v>
      </c>
    </row>
    <row r="974" spans="1:14" x14ac:dyDescent="0.2">
      <c r="A974" s="17" t="s">
        <v>608</v>
      </c>
      <c r="B974" s="10">
        <v>0</v>
      </c>
      <c r="C974" s="10">
        <v>0</v>
      </c>
      <c r="D974" s="10">
        <v>0</v>
      </c>
      <c r="E974" s="10">
        <v>0</v>
      </c>
      <c r="F974" s="10">
        <v>0</v>
      </c>
      <c r="G974" s="10">
        <v>0</v>
      </c>
      <c r="H974" s="10">
        <v>0</v>
      </c>
      <c r="I974" s="10">
        <v>0</v>
      </c>
      <c r="J974" s="10">
        <v>0</v>
      </c>
      <c r="K974" s="10">
        <v>0</v>
      </c>
      <c r="L974" s="10">
        <v>0</v>
      </c>
      <c r="M974" s="10">
        <v>548.20000000000005</v>
      </c>
      <c r="N974" s="10">
        <f t="shared" si="179"/>
        <v>548.20000000000005</v>
      </c>
    </row>
    <row r="975" spans="1:14" ht="4.95" customHeight="1" x14ac:dyDescent="0.2">
      <c r="A975" s="11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</row>
    <row r="976" spans="1:14" ht="4.95" customHeight="1" x14ac:dyDescent="0.2"/>
    <row r="977" spans="1:14" x14ac:dyDescent="0.2">
      <c r="A977" s="16" t="s">
        <v>137</v>
      </c>
      <c r="B977" s="9">
        <f t="shared" ref="B977:N977" si="180">SUM(B945:B974)</f>
        <v>38603.539999999994</v>
      </c>
      <c r="C977" s="9">
        <f t="shared" si="180"/>
        <v>39868.979999999989</v>
      </c>
      <c r="D977" s="9">
        <f t="shared" si="180"/>
        <v>36947.199999999997</v>
      </c>
      <c r="E977" s="9">
        <f t="shared" si="180"/>
        <v>38769.729999999989</v>
      </c>
      <c r="F977" s="9">
        <f t="shared" si="180"/>
        <v>34517.250000000007</v>
      </c>
      <c r="G977" s="9">
        <f t="shared" si="180"/>
        <v>30251.32</v>
      </c>
      <c r="H977" s="9">
        <f t="shared" si="180"/>
        <v>30012.18</v>
      </c>
      <c r="I977" s="9">
        <f t="shared" si="180"/>
        <v>44806.749999999993</v>
      </c>
      <c r="J977" s="9">
        <f t="shared" si="180"/>
        <v>50442.18</v>
      </c>
      <c r="K977" s="9">
        <f t="shared" si="180"/>
        <v>40715.039999999994</v>
      </c>
      <c r="L977" s="9">
        <f t="shared" si="180"/>
        <v>32815.919999999998</v>
      </c>
      <c r="M977" s="9">
        <f t="shared" si="180"/>
        <v>22573.97</v>
      </c>
      <c r="N977" s="9">
        <f t="shared" si="180"/>
        <v>440324.06000000006</v>
      </c>
    </row>
    <row r="978" spans="1:14" ht="4.95" customHeight="1" x14ac:dyDescent="0.2"/>
    <row r="979" spans="1:14" ht="4.95" customHeight="1" x14ac:dyDescent="0.2">
      <c r="A979" s="11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</row>
    <row r="980" spans="1:14" ht="4.95" customHeight="1" x14ac:dyDescent="0.2"/>
    <row r="981" spans="1:14" x14ac:dyDescent="0.2">
      <c r="A981" s="16" t="s">
        <v>609</v>
      </c>
      <c r="B981" s="9">
        <f t="shared" ref="B981:N981" si="181">B942+B977</f>
        <v>84784.049999999988</v>
      </c>
      <c r="C981" s="9">
        <f t="shared" si="181"/>
        <v>77582.26999999999</v>
      </c>
      <c r="D981" s="9">
        <f t="shared" si="181"/>
        <v>82363.3</v>
      </c>
      <c r="E981" s="9">
        <f t="shared" si="181"/>
        <v>91711.709999999992</v>
      </c>
      <c r="F981" s="9">
        <f t="shared" si="181"/>
        <v>75082.850000000006</v>
      </c>
      <c r="G981" s="9">
        <f t="shared" si="181"/>
        <v>74331.39</v>
      </c>
      <c r="H981" s="9">
        <f t="shared" si="181"/>
        <v>71155.16</v>
      </c>
      <c r="I981" s="9">
        <f t="shared" si="181"/>
        <v>85883</v>
      </c>
      <c r="J981" s="9">
        <f t="shared" si="181"/>
        <v>90011.08</v>
      </c>
      <c r="K981" s="9">
        <f t="shared" si="181"/>
        <v>79254.459999999992</v>
      </c>
      <c r="L981" s="9">
        <f t="shared" si="181"/>
        <v>68682.25</v>
      </c>
      <c r="M981" s="9">
        <f t="shared" si="181"/>
        <v>53482.01</v>
      </c>
      <c r="N981" s="9">
        <f t="shared" si="181"/>
        <v>934323.53</v>
      </c>
    </row>
    <row r="982" spans="1:14" ht="4.95" customHeight="1" x14ac:dyDescent="0.2"/>
    <row r="983" spans="1:14" x14ac:dyDescent="0.2">
      <c r="A983" s="16" t="s">
        <v>610</v>
      </c>
      <c r="B983" s="9">
        <f t="shared" ref="B983:N983" si="182">B981</f>
        <v>84784.049999999988</v>
      </c>
      <c r="C983" s="9">
        <f t="shared" si="182"/>
        <v>77582.26999999999</v>
      </c>
      <c r="D983" s="9">
        <f t="shared" si="182"/>
        <v>82363.3</v>
      </c>
      <c r="E983" s="9">
        <f t="shared" si="182"/>
        <v>91711.709999999992</v>
      </c>
      <c r="F983" s="9">
        <f t="shared" si="182"/>
        <v>75082.850000000006</v>
      </c>
      <c r="G983" s="9">
        <f t="shared" si="182"/>
        <v>74331.39</v>
      </c>
      <c r="H983" s="9">
        <f t="shared" si="182"/>
        <v>71155.16</v>
      </c>
      <c r="I983" s="9">
        <f t="shared" si="182"/>
        <v>85883</v>
      </c>
      <c r="J983" s="9">
        <f t="shared" si="182"/>
        <v>90011.08</v>
      </c>
      <c r="K983" s="9">
        <f t="shared" si="182"/>
        <v>79254.459999999992</v>
      </c>
      <c r="L983" s="9">
        <f t="shared" si="182"/>
        <v>68682.25</v>
      </c>
      <c r="M983" s="9">
        <f t="shared" si="182"/>
        <v>53482.01</v>
      </c>
      <c r="N983" s="9">
        <f t="shared" si="182"/>
        <v>934323.53</v>
      </c>
    </row>
    <row r="984" spans="1:14" ht="4.95" customHeight="1" x14ac:dyDescent="0.2"/>
    <row r="985" spans="1:14" x14ac:dyDescent="0.2">
      <c r="A985" s="16" t="s">
        <v>39</v>
      </c>
    </row>
    <row r="987" spans="1:14" x14ac:dyDescent="0.2">
      <c r="A987" s="16" t="s">
        <v>611</v>
      </c>
    </row>
    <row r="988" spans="1:14" x14ac:dyDescent="0.2">
      <c r="A988" s="17" t="s">
        <v>612</v>
      </c>
      <c r="B988" s="10">
        <v>25164.5</v>
      </c>
      <c r="C988" s="10">
        <v>22600.95</v>
      </c>
      <c r="D988" s="10">
        <v>22488.97</v>
      </c>
      <c r="E988" s="10">
        <v>23449.599999999999</v>
      </c>
      <c r="F988" s="10">
        <v>24893.71</v>
      </c>
      <c r="G988" s="10">
        <v>24523</v>
      </c>
      <c r="H988" s="10">
        <v>25202.85</v>
      </c>
      <c r="I988" s="10">
        <v>26671.919999999998</v>
      </c>
      <c r="J988" s="10">
        <v>23838.76</v>
      </c>
      <c r="K988" s="10">
        <v>23513.65</v>
      </c>
      <c r="L988" s="10">
        <v>23618.13</v>
      </c>
      <c r="M988" s="10">
        <v>22946.25</v>
      </c>
      <c r="N988" s="10">
        <f>B988+C988+D988+E988+F988+G988+H988+I988+J988+K988+L988+M988</f>
        <v>288912.28999999998</v>
      </c>
    </row>
    <row r="989" spans="1:14" x14ac:dyDescent="0.2">
      <c r="A989" s="17" t="s">
        <v>613</v>
      </c>
      <c r="B989" s="10">
        <v>17297.43</v>
      </c>
      <c r="C989" s="10">
        <v>17707.509999999998</v>
      </c>
      <c r="D989" s="10">
        <v>21957.43</v>
      </c>
      <c r="E989" s="10">
        <v>21208.13</v>
      </c>
      <c r="F989" s="10">
        <v>19708.2</v>
      </c>
      <c r="G989" s="10">
        <v>20991.3</v>
      </c>
      <c r="H989" s="10">
        <v>21445.32</v>
      </c>
      <c r="I989" s="10">
        <v>23518.02</v>
      </c>
      <c r="J989" s="10">
        <v>24564.240000000002</v>
      </c>
      <c r="K989" s="10">
        <v>30683.66</v>
      </c>
      <c r="L989" s="10">
        <v>49693.279999999999</v>
      </c>
      <c r="M989" s="10">
        <v>38678.36</v>
      </c>
      <c r="N989" s="10">
        <f>B989+C989+D989+E989+F989+G989+H989+I989+J989+K989+L989+M989</f>
        <v>307452.88</v>
      </c>
    </row>
    <row r="990" spans="1:14" x14ac:dyDescent="0.2">
      <c r="A990" s="17" t="s">
        <v>614</v>
      </c>
      <c r="B990" s="10">
        <v>4680.34</v>
      </c>
      <c r="C990" s="10">
        <v>4544.16</v>
      </c>
      <c r="D990" s="10">
        <v>4605.09</v>
      </c>
      <c r="E990" s="10">
        <v>4340.18</v>
      </c>
      <c r="F990" s="10">
        <v>3807.34</v>
      </c>
      <c r="G990" s="10">
        <v>3691.91</v>
      </c>
      <c r="H990" s="10">
        <v>4333.1400000000003</v>
      </c>
      <c r="I990" s="10">
        <v>3349.92</v>
      </c>
      <c r="J990" s="10">
        <v>3388.24</v>
      </c>
      <c r="K990" s="10">
        <v>2969.99</v>
      </c>
      <c r="L990" s="10">
        <v>3348.29</v>
      </c>
      <c r="M990" s="10">
        <v>3628.9</v>
      </c>
      <c r="N990" s="10">
        <f>B990+C990+D990+E990+F990+G990+H990+I990+J990+K990+L990+M990</f>
        <v>46687.5</v>
      </c>
    </row>
    <row r="991" spans="1:14" x14ac:dyDescent="0.2">
      <c r="A991" s="17" t="s">
        <v>615</v>
      </c>
      <c r="B991" s="10">
        <v>37538</v>
      </c>
      <c r="C991" s="10">
        <v>35946</v>
      </c>
      <c r="D991" s="10">
        <v>39555</v>
      </c>
      <c r="E991" s="10">
        <v>61101</v>
      </c>
      <c r="F991" s="10">
        <v>70795</v>
      </c>
      <c r="G991" s="10">
        <v>95137</v>
      </c>
      <c r="H991" s="10">
        <v>101753</v>
      </c>
      <c r="I991" s="10">
        <v>108900</v>
      </c>
      <c r="J991" s="10">
        <v>102354</v>
      </c>
      <c r="K991" s="10">
        <v>89688</v>
      </c>
      <c r="L991" s="10">
        <v>63507</v>
      </c>
      <c r="M991" s="10">
        <v>44367</v>
      </c>
      <c r="N991" s="10">
        <f>B991+C991+D991+E991+F991+G991+H991+I991+J991+K991+L991+M991</f>
        <v>850641</v>
      </c>
    </row>
    <row r="992" spans="1:14" x14ac:dyDescent="0.2">
      <c r="A992" s="17" t="s">
        <v>616</v>
      </c>
      <c r="B992" s="10">
        <v>2046.86</v>
      </c>
      <c r="C992" s="10">
        <v>2219.7199999999998</v>
      </c>
      <c r="D992" s="10">
        <v>2457.0100000000002</v>
      </c>
      <c r="E992" s="10">
        <v>980.11</v>
      </c>
      <c r="F992" s="10">
        <v>2518.86</v>
      </c>
      <c r="G992" s="10">
        <v>1995.95</v>
      </c>
      <c r="H992" s="10">
        <v>1795.03</v>
      </c>
      <c r="I992" s="10">
        <v>1903.68</v>
      </c>
      <c r="J992" s="10">
        <v>2516.66</v>
      </c>
      <c r="K992" s="10">
        <v>2044.73</v>
      </c>
      <c r="L992" s="10">
        <v>1935.28</v>
      </c>
      <c r="M992" s="10">
        <v>1881.72</v>
      </c>
      <c r="N992" s="10">
        <f>B992+C992+D992+E992+F992+G992+H992+I992+J992+K992+L992+M992</f>
        <v>24295.61</v>
      </c>
    </row>
    <row r="993" spans="1:14" ht="4.95" customHeight="1" x14ac:dyDescent="0.2"/>
    <row r="994" spans="1:14" ht="4.95" customHeight="1" x14ac:dyDescent="0.2">
      <c r="A994" s="11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</row>
    <row r="995" spans="1:14" ht="4.95" customHeight="1" x14ac:dyDescent="0.2"/>
    <row r="996" spans="1:14" x14ac:dyDescent="0.2">
      <c r="A996" s="16" t="s">
        <v>617</v>
      </c>
      <c r="B996" s="9">
        <f t="shared" ref="B996:N996" si="183">SUM(B988:B992)</f>
        <v>86727.13</v>
      </c>
      <c r="C996" s="9">
        <f t="shared" si="183"/>
        <v>83018.34</v>
      </c>
      <c r="D996" s="9">
        <f t="shared" si="183"/>
        <v>91063.5</v>
      </c>
      <c r="E996" s="9">
        <f t="shared" si="183"/>
        <v>111079.02</v>
      </c>
      <c r="F996" s="9">
        <f t="shared" si="183"/>
        <v>121723.11</v>
      </c>
      <c r="G996" s="9">
        <f t="shared" si="183"/>
        <v>146339.16000000003</v>
      </c>
      <c r="H996" s="9">
        <f t="shared" si="183"/>
        <v>154529.34</v>
      </c>
      <c r="I996" s="9">
        <f t="shared" si="183"/>
        <v>164343.53999999998</v>
      </c>
      <c r="J996" s="9">
        <f t="shared" si="183"/>
        <v>156661.9</v>
      </c>
      <c r="K996" s="9">
        <f t="shared" si="183"/>
        <v>148900.03</v>
      </c>
      <c r="L996" s="9">
        <f t="shared" si="183"/>
        <v>142101.98000000001</v>
      </c>
      <c r="M996" s="9">
        <f t="shared" si="183"/>
        <v>111502.23000000001</v>
      </c>
      <c r="N996" s="9">
        <f t="shared" si="183"/>
        <v>1517989.28</v>
      </c>
    </row>
    <row r="997" spans="1:14" ht="4.95" customHeight="1" x14ac:dyDescent="0.2"/>
    <row r="998" spans="1:14" x14ac:dyDescent="0.2">
      <c r="A998" s="16" t="s">
        <v>618</v>
      </c>
      <c r="B998" s="9">
        <f t="shared" ref="B998:N998" si="184">B996</f>
        <v>86727.13</v>
      </c>
      <c r="C998" s="9">
        <f t="shared" si="184"/>
        <v>83018.34</v>
      </c>
      <c r="D998" s="9">
        <f t="shared" si="184"/>
        <v>91063.5</v>
      </c>
      <c r="E998" s="9">
        <f t="shared" si="184"/>
        <v>111079.02</v>
      </c>
      <c r="F998" s="9">
        <f t="shared" si="184"/>
        <v>121723.11</v>
      </c>
      <c r="G998" s="9">
        <f t="shared" si="184"/>
        <v>146339.16000000003</v>
      </c>
      <c r="H998" s="9">
        <f t="shared" si="184"/>
        <v>154529.34</v>
      </c>
      <c r="I998" s="9">
        <f t="shared" si="184"/>
        <v>164343.53999999998</v>
      </c>
      <c r="J998" s="9">
        <f t="shared" si="184"/>
        <v>156661.9</v>
      </c>
      <c r="K998" s="9">
        <f t="shared" si="184"/>
        <v>148900.03</v>
      </c>
      <c r="L998" s="9">
        <f t="shared" si="184"/>
        <v>142101.98000000001</v>
      </c>
      <c r="M998" s="9">
        <f t="shared" si="184"/>
        <v>111502.23000000001</v>
      </c>
      <c r="N998" s="9">
        <f t="shared" si="184"/>
        <v>1517989.28</v>
      </c>
    </row>
    <row r="999" spans="1:14" ht="4.95" customHeight="1" x14ac:dyDescent="0.2">
      <c r="A999" s="11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</row>
    <row r="1000" spans="1:14" ht="4.95" customHeight="1" x14ac:dyDescent="0.2"/>
    <row r="1001" spans="1:14" ht="4.95" customHeight="1" x14ac:dyDescent="0.2"/>
    <row r="1002" spans="1:14" x14ac:dyDescent="0.2">
      <c r="A1002" s="16" t="s">
        <v>31</v>
      </c>
      <c r="B1002" s="9">
        <f t="shared" ref="B1002:N1002" si="185">B188+B338+B425+B512+B583+B658+B693+B716+B808+B849+B900+B914+B983+B998</f>
        <v>757303.82</v>
      </c>
      <c r="C1002" s="9">
        <f t="shared" si="185"/>
        <v>858399.33</v>
      </c>
      <c r="D1002" s="9">
        <f t="shared" si="185"/>
        <v>995898.12000000011</v>
      </c>
      <c r="E1002" s="9">
        <f t="shared" si="185"/>
        <v>956564.67999999993</v>
      </c>
      <c r="F1002" s="9">
        <f t="shared" si="185"/>
        <v>906956.2</v>
      </c>
      <c r="G1002" s="9">
        <f t="shared" si="185"/>
        <v>828705.1399999999</v>
      </c>
      <c r="H1002" s="9">
        <f t="shared" si="185"/>
        <v>885542.20999999985</v>
      </c>
      <c r="I1002" s="9">
        <f t="shared" si="185"/>
        <v>923584.91999999993</v>
      </c>
      <c r="J1002" s="9">
        <f t="shared" si="185"/>
        <v>953611</v>
      </c>
      <c r="K1002" s="9">
        <f t="shared" si="185"/>
        <v>975473.13</v>
      </c>
      <c r="L1002" s="9">
        <f t="shared" si="185"/>
        <v>921749.33</v>
      </c>
      <c r="M1002" s="9">
        <f t="shared" si="185"/>
        <v>751609.65</v>
      </c>
      <c r="N1002" s="9">
        <f t="shared" si="185"/>
        <v>10715397.529999999</v>
      </c>
    </row>
    <row r="1003" spans="1:14" ht="4.95" customHeight="1" x14ac:dyDescent="0.2">
      <c r="A1003" s="11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</row>
    <row r="1004" spans="1:14" ht="4.95" customHeight="1" x14ac:dyDescent="0.2"/>
    <row r="1005" spans="1:14" ht="4.95" customHeight="1" x14ac:dyDescent="0.2"/>
    <row r="1006" spans="1:14" x14ac:dyDescent="0.2">
      <c r="A1006" s="16" t="s">
        <v>41</v>
      </c>
      <c r="B1006" s="9">
        <f t="shared" ref="B1006:N1006" si="186">B750-B1002</f>
        <v>177746.81999999995</v>
      </c>
      <c r="C1006" s="9">
        <f t="shared" si="186"/>
        <v>679402.67</v>
      </c>
      <c r="D1006" s="9">
        <f t="shared" si="186"/>
        <v>817810.46</v>
      </c>
      <c r="E1006" s="9">
        <f t="shared" si="186"/>
        <v>563481.3600000001</v>
      </c>
      <c r="F1006" s="9">
        <f t="shared" si="186"/>
        <v>493134.34000000008</v>
      </c>
      <c r="G1006" s="9">
        <f t="shared" si="186"/>
        <v>381619.50999999978</v>
      </c>
      <c r="H1006" s="9">
        <f t="shared" si="186"/>
        <v>182555.75000000012</v>
      </c>
      <c r="I1006" s="9">
        <f t="shared" si="186"/>
        <v>206938.85000000009</v>
      </c>
      <c r="J1006" s="9">
        <f t="shared" si="186"/>
        <v>257103.43000000017</v>
      </c>
      <c r="K1006" s="9">
        <f t="shared" si="186"/>
        <v>466326.86</v>
      </c>
      <c r="L1006" s="9">
        <f t="shared" si="186"/>
        <v>467635.24000000011</v>
      </c>
      <c r="M1006" s="9">
        <f t="shared" si="186"/>
        <v>151021.65000000002</v>
      </c>
      <c r="N1006" s="9">
        <f t="shared" si="186"/>
        <v>4844776.9400000032</v>
      </c>
    </row>
    <row r="1007" spans="1:14" ht="4.95" customHeight="1" x14ac:dyDescent="0.2"/>
    <row r="1008" spans="1:14" x14ac:dyDescent="0.2">
      <c r="A1008" s="16" t="s">
        <v>44</v>
      </c>
    </row>
    <row r="1010" spans="1:14" x14ac:dyDescent="0.2">
      <c r="A1010" s="16" t="s">
        <v>619</v>
      </c>
    </row>
    <row r="1011" spans="1:14" x14ac:dyDescent="0.2">
      <c r="A1011" s="17" t="s">
        <v>620</v>
      </c>
      <c r="B1011" s="10">
        <v>451.04</v>
      </c>
      <c r="C1011" s="10">
        <v>451.04</v>
      </c>
      <c r="D1011" s="10">
        <v>20845.650000000001</v>
      </c>
      <c r="E1011" s="10">
        <v>843.02</v>
      </c>
      <c r="F1011" s="10">
        <v>451.04</v>
      </c>
      <c r="G1011" s="10">
        <v>26628.67</v>
      </c>
      <c r="H1011" s="10">
        <v>888.41</v>
      </c>
      <c r="I1011" s="10">
        <v>451.04</v>
      </c>
      <c r="J1011" s="10">
        <v>30255.759999999998</v>
      </c>
      <c r="K1011" s="10">
        <v>883.56</v>
      </c>
      <c r="L1011" s="10">
        <v>451.04</v>
      </c>
      <c r="M1011" s="10">
        <v>20345.07</v>
      </c>
      <c r="N1011" s="10">
        <f>B1011+C1011+D1011+E1011+F1011+G1011+H1011+I1011+J1011+K1011+L1011+M1011</f>
        <v>102945.34</v>
      </c>
    </row>
    <row r="1012" spans="1:14" x14ac:dyDescent="0.2">
      <c r="A1012" s="17" t="s">
        <v>621</v>
      </c>
      <c r="B1012" s="10">
        <v>1364.06</v>
      </c>
      <c r="C1012" s="10">
        <v>743.68</v>
      </c>
      <c r="D1012" s="10">
        <v>743.68</v>
      </c>
      <c r="E1012" s="10">
        <v>743.68</v>
      </c>
      <c r="F1012" s="10">
        <v>743.68</v>
      </c>
      <c r="G1012" s="10">
        <v>743.68</v>
      </c>
      <c r="H1012" s="10">
        <v>743.68</v>
      </c>
      <c r="I1012" s="10">
        <v>743.68</v>
      </c>
      <c r="J1012" s="10">
        <v>743.68</v>
      </c>
      <c r="K1012" s="10">
        <v>743.68</v>
      </c>
      <c r="L1012" s="10">
        <v>743.68</v>
      </c>
      <c r="M1012" s="10">
        <v>743.68</v>
      </c>
      <c r="N1012" s="10">
        <f>B1012+C1012+D1012+E1012+F1012+G1012+H1012+I1012+J1012+K1012+L1012+M1012</f>
        <v>9544.5400000000009</v>
      </c>
    </row>
    <row r="1013" spans="1:14" ht="4.95" customHeight="1" x14ac:dyDescent="0.2"/>
    <row r="1014" spans="1:14" ht="4.95" customHeight="1" x14ac:dyDescent="0.2">
      <c r="A1014" s="11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</row>
    <row r="1015" spans="1:14" ht="4.95" customHeight="1" x14ac:dyDescent="0.2"/>
    <row r="1016" spans="1:14" x14ac:dyDescent="0.2">
      <c r="A1016" s="16" t="s">
        <v>622</v>
      </c>
      <c r="B1016" s="9">
        <f t="shared" ref="B1016:N1016" si="187">SUM(B1011:B1012)</f>
        <v>1815.1</v>
      </c>
      <c r="C1016" s="9">
        <f t="shared" si="187"/>
        <v>1194.72</v>
      </c>
      <c r="D1016" s="9">
        <f t="shared" si="187"/>
        <v>21589.33</v>
      </c>
      <c r="E1016" s="9">
        <f t="shared" si="187"/>
        <v>1586.6999999999998</v>
      </c>
      <c r="F1016" s="9">
        <f t="shared" si="187"/>
        <v>1194.72</v>
      </c>
      <c r="G1016" s="9">
        <f t="shared" si="187"/>
        <v>27372.35</v>
      </c>
      <c r="H1016" s="9">
        <f t="shared" si="187"/>
        <v>1632.09</v>
      </c>
      <c r="I1016" s="9">
        <f t="shared" si="187"/>
        <v>1194.72</v>
      </c>
      <c r="J1016" s="9">
        <f t="shared" si="187"/>
        <v>30999.439999999999</v>
      </c>
      <c r="K1016" s="9">
        <f t="shared" si="187"/>
        <v>1627.2399999999998</v>
      </c>
      <c r="L1016" s="9">
        <f t="shared" si="187"/>
        <v>1194.72</v>
      </c>
      <c r="M1016" s="9">
        <f t="shared" si="187"/>
        <v>21088.75</v>
      </c>
      <c r="N1016" s="9">
        <f t="shared" si="187"/>
        <v>112489.88</v>
      </c>
    </row>
    <row r="1017" spans="1:14" ht="4.95" customHeight="1" x14ac:dyDescent="0.2"/>
    <row r="1018" spans="1:14" x14ac:dyDescent="0.2">
      <c r="A1018" s="16" t="s">
        <v>623</v>
      </c>
      <c r="B1018" s="9">
        <f t="shared" ref="B1018:N1018" si="188">B1016</f>
        <v>1815.1</v>
      </c>
      <c r="C1018" s="9">
        <f t="shared" si="188"/>
        <v>1194.72</v>
      </c>
      <c r="D1018" s="9">
        <f t="shared" si="188"/>
        <v>21589.33</v>
      </c>
      <c r="E1018" s="9">
        <f t="shared" si="188"/>
        <v>1586.6999999999998</v>
      </c>
      <c r="F1018" s="9">
        <f t="shared" si="188"/>
        <v>1194.72</v>
      </c>
      <c r="G1018" s="9">
        <f t="shared" si="188"/>
        <v>27372.35</v>
      </c>
      <c r="H1018" s="9">
        <f t="shared" si="188"/>
        <v>1632.09</v>
      </c>
      <c r="I1018" s="9">
        <f t="shared" si="188"/>
        <v>1194.72</v>
      </c>
      <c r="J1018" s="9">
        <f t="shared" si="188"/>
        <v>30999.439999999999</v>
      </c>
      <c r="K1018" s="9">
        <f t="shared" si="188"/>
        <v>1627.2399999999998</v>
      </c>
      <c r="L1018" s="9">
        <f t="shared" si="188"/>
        <v>1194.72</v>
      </c>
      <c r="M1018" s="9">
        <f t="shared" si="188"/>
        <v>21088.75</v>
      </c>
      <c r="N1018" s="9">
        <f t="shared" si="188"/>
        <v>112489.88</v>
      </c>
    </row>
    <row r="1019" spans="1:14" ht="4.95" customHeight="1" x14ac:dyDescent="0.2"/>
    <row r="1020" spans="1:14" x14ac:dyDescent="0.2">
      <c r="A1020" s="16" t="s">
        <v>43</v>
      </c>
    </row>
    <row r="1022" spans="1:14" x14ac:dyDescent="0.2">
      <c r="A1022" s="16" t="s">
        <v>624</v>
      </c>
    </row>
    <row r="1023" spans="1:14" x14ac:dyDescent="0.2">
      <c r="A1023" s="17" t="s">
        <v>625</v>
      </c>
      <c r="B1023" s="10">
        <v>1779</v>
      </c>
      <c r="C1023" s="10">
        <v>110</v>
      </c>
      <c r="D1023" s="10">
        <v>760</v>
      </c>
      <c r="E1023" s="10">
        <v>1037</v>
      </c>
      <c r="F1023" s="10">
        <v>10</v>
      </c>
      <c r="G1023" s="10">
        <v>558</v>
      </c>
      <c r="H1023" s="10">
        <v>170</v>
      </c>
      <c r="I1023" s="10">
        <v>660</v>
      </c>
      <c r="J1023" s="10">
        <v>656</v>
      </c>
      <c r="K1023" s="10">
        <v>1543</v>
      </c>
      <c r="L1023" s="10">
        <v>869</v>
      </c>
      <c r="M1023" s="10">
        <v>495</v>
      </c>
      <c r="N1023" s="10">
        <f>B1023+C1023+D1023+E1023+F1023+G1023+H1023+I1023+J1023+K1023+L1023+M1023</f>
        <v>8647</v>
      </c>
    </row>
    <row r="1024" spans="1:14" x14ac:dyDescent="0.2">
      <c r="A1024" s="17" t="s">
        <v>626</v>
      </c>
      <c r="B1024" s="10">
        <v>28204.3</v>
      </c>
      <c r="C1024" s="10">
        <v>46398.77</v>
      </c>
      <c r="D1024" s="10">
        <v>54811.93</v>
      </c>
      <c r="E1024" s="10">
        <v>45946.77</v>
      </c>
      <c r="F1024" s="10">
        <v>42224.24</v>
      </c>
      <c r="G1024" s="10">
        <v>36740.28</v>
      </c>
      <c r="H1024" s="10">
        <v>32233.11</v>
      </c>
      <c r="I1024" s="10">
        <v>33976.22</v>
      </c>
      <c r="J1024" s="10">
        <v>36429.47</v>
      </c>
      <c r="K1024" s="10">
        <v>43575.35</v>
      </c>
      <c r="L1024" s="10">
        <v>41960.25</v>
      </c>
      <c r="M1024" s="10">
        <v>27145.54</v>
      </c>
      <c r="N1024" s="10">
        <f>B1024+C1024+D1024+E1024+F1024+G1024+H1024+I1024+J1024+K1024+L1024+M1024</f>
        <v>469646.22999999992</v>
      </c>
    </row>
    <row r="1025" spans="1:14" ht="4.95" customHeight="1" x14ac:dyDescent="0.2"/>
    <row r="1026" spans="1:14" ht="4.95" customHeight="1" x14ac:dyDescent="0.2">
      <c r="A1026" s="11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</row>
    <row r="1027" spans="1:14" ht="4.95" customHeight="1" x14ac:dyDescent="0.2"/>
    <row r="1028" spans="1:14" x14ac:dyDescent="0.2">
      <c r="A1028" s="16" t="s">
        <v>627</v>
      </c>
      <c r="B1028" s="9">
        <f t="shared" ref="B1028:N1028" si="189">SUM(B1023:B1024)</f>
        <v>29983.3</v>
      </c>
      <c r="C1028" s="9">
        <f t="shared" si="189"/>
        <v>46508.77</v>
      </c>
      <c r="D1028" s="9">
        <f t="shared" si="189"/>
        <v>55571.93</v>
      </c>
      <c r="E1028" s="9">
        <f t="shared" si="189"/>
        <v>46983.77</v>
      </c>
      <c r="F1028" s="9">
        <f t="shared" si="189"/>
        <v>42234.239999999998</v>
      </c>
      <c r="G1028" s="9">
        <f t="shared" si="189"/>
        <v>37298.28</v>
      </c>
      <c r="H1028" s="9">
        <f t="shared" si="189"/>
        <v>32403.11</v>
      </c>
      <c r="I1028" s="9">
        <f t="shared" si="189"/>
        <v>34636.22</v>
      </c>
      <c r="J1028" s="9">
        <f t="shared" si="189"/>
        <v>37085.47</v>
      </c>
      <c r="K1028" s="9">
        <f t="shared" si="189"/>
        <v>45118.35</v>
      </c>
      <c r="L1028" s="9">
        <f t="shared" si="189"/>
        <v>42829.25</v>
      </c>
      <c r="M1028" s="9">
        <f t="shared" si="189"/>
        <v>27640.54</v>
      </c>
      <c r="N1028" s="9">
        <f t="shared" si="189"/>
        <v>478293.22999999992</v>
      </c>
    </row>
    <row r="1029" spans="1:14" ht="4.95" customHeight="1" x14ac:dyDescent="0.2"/>
    <row r="1030" spans="1:14" x14ac:dyDescent="0.2">
      <c r="A1030" s="16" t="s">
        <v>628</v>
      </c>
      <c r="B1030" s="9">
        <f t="shared" ref="B1030:N1030" si="190">B1028</f>
        <v>29983.3</v>
      </c>
      <c r="C1030" s="9">
        <f t="shared" si="190"/>
        <v>46508.77</v>
      </c>
      <c r="D1030" s="9">
        <f t="shared" si="190"/>
        <v>55571.93</v>
      </c>
      <c r="E1030" s="9">
        <f t="shared" si="190"/>
        <v>46983.77</v>
      </c>
      <c r="F1030" s="9">
        <f t="shared" si="190"/>
        <v>42234.239999999998</v>
      </c>
      <c r="G1030" s="9">
        <f t="shared" si="190"/>
        <v>37298.28</v>
      </c>
      <c r="H1030" s="9">
        <f t="shared" si="190"/>
        <v>32403.11</v>
      </c>
      <c r="I1030" s="9">
        <f t="shared" si="190"/>
        <v>34636.22</v>
      </c>
      <c r="J1030" s="9">
        <f t="shared" si="190"/>
        <v>37085.47</v>
      </c>
      <c r="K1030" s="9">
        <f t="shared" si="190"/>
        <v>45118.35</v>
      </c>
      <c r="L1030" s="9">
        <f t="shared" si="190"/>
        <v>42829.25</v>
      </c>
      <c r="M1030" s="9">
        <f t="shared" si="190"/>
        <v>27640.54</v>
      </c>
      <c r="N1030" s="9">
        <f t="shared" si="190"/>
        <v>478293.22999999992</v>
      </c>
    </row>
    <row r="1031" spans="1:14" ht="4.95" customHeight="1" x14ac:dyDescent="0.2"/>
    <row r="1032" spans="1:14" x14ac:dyDescent="0.2">
      <c r="A1032" s="16" t="s">
        <v>48</v>
      </c>
    </row>
    <row r="1034" spans="1:14" x14ac:dyDescent="0.2">
      <c r="A1034" s="16" t="s">
        <v>629</v>
      </c>
    </row>
    <row r="1035" spans="1:14" x14ac:dyDescent="0.2">
      <c r="A1035" s="17" t="s">
        <v>630</v>
      </c>
      <c r="B1035" s="10">
        <v>47291.45</v>
      </c>
      <c r="C1035" s="10">
        <v>47291.45</v>
      </c>
      <c r="D1035" s="10">
        <v>47291.45</v>
      </c>
      <c r="E1035" s="10">
        <v>47291.45</v>
      </c>
      <c r="F1035" s="10">
        <v>47291.45</v>
      </c>
      <c r="G1035" s="10">
        <v>47291.45</v>
      </c>
      <c r="H1035" s="10">
        <v>47291.45</v>
      </c>
      <c r="I1035" s="10">
        <v>47291.45</v>
      </c>
      <c r="J1035" s="10">
        <v>47291.45</v>
      </c>
      <c r="K1035" s="10">
        <v>72566.5</v>
      </c>
      <c r="L1035" s="10">
        <v>72566.5</v>
      </c>
      <c r="M1035" s="10">
        <v>-17433.5</v>
      </c>
      <c r="N1035" s="10">
        <f>B1035+C1035+D1035+E1035+F1035+G1035+H1035+I1035+J1035+K1035+L1035+M1035</f>
        <v>553322.55000000005</v>
      </c>
    </row>
    <row r="1036" spans="1:14" x14ac:dyDescent="0.2">
      <c r="A1036" s="17" t="s">
        <v>631</v>
      </c>
      <c r="B1036" s="10">
        <v>1723.4</v>
      </c>
      <c r="C1036" s="10">
        <v>1723.4</v>
      </c>
      <c r="D1036" s="10">
        <v>1723.4</v>
      </c>
      <c r="E1036" s="10">
        <v>1723.4</v>
      </c>
      <c r="F1036" s="10">
        <v>7491.42</v>
      </c>
      <c r="G1036" s="10">
        <v>2876.97</v>
      </c>
      <c r="H1036" s="10">
        <v>2876.97</v>
      </c>
      <c r="I1036" s="10">
        <v>2876.97</v>
      </c>
      <c r="J1036" s="10">
        <v>2876.97</v>
      </c>
      <c r="K1036" s="10">
        <v>2876.97</v>
      </c>
      <c r="L1036" s="10">
        <v>2876.97</v>
      </c>
      <c r="M1036" s="10">
        <v>2876.97</v>
      </c>
      <c r="N1036" s="10">
        <f>B1036+C1036+D1036+E1036+F1036+G1036+H1036+I1036+J1036+K1036+L1036+M1036</f>
        <v>34523.810000000005</v>
      </c>
    </row>
    <row r="1037" spans="1:14" ht="4.95" customHeight="1" x14ac:dyDescent="0.2"/>
    <row r="1038" spans="1:14" ht="4.95" customHeight="1" x14ac:dyDescent="0.2">
      <c r="A1038" s="11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</row>
    <row r="1039" spans="1:14" ht="4.95" customHeight="1" x14ac:dyDescent="0.2"/>
    <row r="1040" spans="1:14" x14ac:dyDescent="0.2">
      <c r="A1040" s="16" t="s">
        <v>632</v>
      </c>
      <c r="B1040" s="9">
        <f t="shared" ref="B1040:N1040" si="191">SUM(B1035:B1036)</f>
        <v>49014.85</v>
      </c>
      <c r="C1040" s="9">
        <f t="shared" si="191"/>
        <v>49014.85</v>
      </c>
      <c r="D1040" s="9">
        <f t="shared" si="191"/>
        <v>49014.85</v>
      </c>
      <c r="E1040" s="9">
        <f t="shared" si="191"/>
        <v>49014.85</v>
      </c>
      <c r="F1040" s="9">
        <f t="shared" si="191"/>
        <v>54782.869999999995</v>
      </c>
      <c r="G1040" s="9">
        <f t="shared" si="191"/>
        <v>50168.42</v>
      </c>
      <c r="H1040" s="9">
        <f t="shared" si="191"/>
        <v>50168.42</v>
      </c>
      <c r="I1040" s="9">
        <f t="shared" si="191"/>
        <v>50168.42</v>
      </c>
      <c r="J1040" s="9">
        <f t="shared" si="191"/>
        <v>50168.42</v>
      </c>
      <c r="K1040" s="9">
        <f t="shared" si="191"/>
        <v>75443.47</v>
      </c>
      <c r="L1040" s="9">
        <f t="shared" si="191"/>
        <v>75443.47</v>
      </c>
      <c r="M1040" s="9">
        <f t="shared" si="191"/>
        <v>-14556.53</v>
      </c>
      <c r="N1040" s="9">
        <f t="shared" si="191"/>
        <v>587846.3600000001</v>
      </c>
    </row>
    <row r="1041" spans="1:14" ht="4.95" customHeight="1" x14ac:dyDescent="0.2"/>
    <row r="1042" spans="1:14" x14ac:dyDescent="0.2">
      <c r="A1042" s="16" t="s">
        <v>633</v>
      </c>
      <c r="B1042" s="9">
        <f t="shared" ref="B1042:N1042" si="192">B1040</f>
        <v>49014.85</v>
      </c>
      <c r="C1042" s="9">
        <f t="shared" si="192"/>
        <v>49014.85</v>
      </c>
      <c r="D1042" s="9">
        <f t="shared" si="192"/>
        <v>49014.85</v>
      </c>
      <c r="E1042" s="9">
        <f t="shared" si="192"/>
        <v>49014.85</v>
      </c>
      <c r="F1042" s="9">
        <f t="shared" si="192"/>
        <v>54782.869999999995</v>
      </c>
      <c r="G1042" s="9">
        <f t="shared" si="192"/>
        <v>50168.42</v>
      </c>
      <c r="H1042" s="9">
        <f t="shared" si="192"/>
        <v>50168.42</v>
      </c>
      <c r="I1042" s="9">
        <f t="shared" si="192"/>
        <v>50168.42</v>
      </c>
      <c r="J1042" s="9">
        <f t="shared" si="192"/>
        <v>50168.42</v>
      </c>
      <c r="K1042" s="9">
        <f t="shared" si="192"/>
        <v>75443.47</v>
      </c>
      <c r="L1042" s="9">
        <f t="shared" si="192"/>
        <v>75443.47</v>
      </c>
      <c r="M1042" s="9">
        <f t="shared" si="192"/>
        <v>-14556.53</v>
      </c>
      <c r="N1042" s="9">
        <f t="shared" si="192"/>
        <v>587846.3600000001</v>
      </c>
    </row>
    <row r="1043" spans="1:14" ht="4.95" customHeight="1" x14ac:dyDescent="0.2"/>
    <row r="1044" spans="1:14" x14ac:dyDescent="0.2">
      <c r="A1044" s="16" t="s">
        <v>49</v>
      </c>
    </row>
    <row r="1046" spans="1:14" x14ac:dyDescent="0.2">
      <c r="A1046" s="16" t="s">
        <v>634</v>
      </c>
    </row>
    <row r="1047" spans="1:14" x14ac:dyDescent="0.2">
      <c r="A1047" s="17" t="s">
        <v>635</v>
      </c>
      <c r="B1047" s="10">
        <v>19549.5</v>
      </c>
      <c r="C1047" s="10">
        <v>19549.5</v>
      </c>
      <c r="D1047" s="10">
        <v>28497.94</v>
      </c>
      <c r="E1047" s="10">
        <v>20543.77</v>
      </c>
      <c r="F1047" s="10">
        <v>20543.77</v>
      </c>
      <c r="G1047" s="10">
        <v>20543.73</v>
      </c>
      <c r="H1047" s="10">
        <v>3231.58</v>
      </c>
      <c r="I1047" s="10">
        <v>34844.51</v>
      </c>
      <c r="J1047" s="10">
        <v>20499.18</v>
      </c>
      <c r="K1047" s="10">
        <v>20507.509999999998</v>
      </c>
      <c r="L1047" s="10">
        <v>20507.509999999998</v>
      </c>
      <c r="M1047" s="10">
        <v>-18271.45</v>
      </c>
      <c r="N1047" s="10">
        <f>B1047+C1047+D1047+E1047+F1047+G1047+H1047+I1047+J1047+K1047+L1047+M1047</f>
        <v>210547.05000000002</v>
      </c>
    </row>
    <row r="1048" spans="1:14" x14ac:dyDescent="0.2">
      <c r="A1048" s="17" t="s">
        <v>636</v>
      </c>
      <c r="B1048" s="10">
        <v>0</v>
      </c>
      <c r="C1048" s="10">
        <v>0</v>
      </c>
      <c r="D1048" s="10">
        <v>0</v>
      </c>
      <c r="E1048" s="10">
        <v>0</v>
      </c>
      <c r="F1048" s="10">
        <v>0</v>
      </c>
      <c r="G1048" s="10">
        <v>0</v>
      </c>
      <c r="H1048" s="10">
        <v>0</v>
      </c>
      <c r="I1048" s="10">
        <v>461.02</v>
      </c>
      <c r="J1048" s="10">
        <v>2022.03</v>
      </c>
      <c r="K1048" s="10">
        <v>0</v>
      </c>
      <c r="L1048" s="10">
        <v>0</v>
      </c>
      <c r="M1048" s="10">
        <v>0</v>
      </c>
      <c r="N1048" s="10">
        <f>B1048+C1048+D1048+E1048+F1048+G1048+H1048+I1048+J1048+K1048+L1048+M1048</f>
        <v>2483.0500000000002</v>
      </c>
    </row>
    <row r="1049" spans="1:14" x14ac:dyDescent="0.2">
      <c r="A1049" s="17" t="s">
        <v>637</v>
      </c>
      <c r="B1049" s="10">
        <v>2483.09</v>
      </c>
      <c r="C1049" s="10">
        <v>2483.09</v>
      </c>
      <c r="D1049" s="10">
        <v>2483.09</v>
      </c>
      <c r="E1049" s="10">
        <v>2483.09</v>
      </c>
      <c r="F1049" s="10">
        <v>2483.09</v>
      </c>
      <c r="G1049" s="10">
        <v>2483.09</v>
      </c>
      <c r="H1049" s="10">
        <v>2483.09</v>
      </c>
      <c r="I1049" s="10">
        <v>2449</v>
      </c>
      <c r="J1049" s="10">
        <v>2449</v>
      </c>
      <c r="K1049" s="10">
        <v>2287.5</v>
      </c>
      <c r="L1049" s="10">
        <v>2487.5</v>
      </c>
      <c r="M1049" s="10">
        <v>2287.5</v>
      </c>
      <c r="N1049" s="10">
        <f>B1049+C1049+D1049+E1049+F1049+G1049+H1049+I1049+J1049+K1049+L1049+M1049</f>
        <v>29342.13</v>
      </c>
    </row>
    <row r="1050" spans="1:14" x14ac:dyDescent="0.2">
      <c r="A1050" s="17" t="s">
        <v>638</v>
      </c>
      <c r="B1050" s="10">
        <v>1445.89</v>
      </c>
      <c r="C1050" s="10">
        <v>1445.89</v>
      </c>
      <c r="D1050" s="10">
        <v>1445.89</v>
      </c>
      <c r="E1050" s="10">
        <v>1445.89</v>
      </c>
      <c r="F1050" s="10">
        <v>1445.89</v>
      </c>
      <c r="G1050" s="10">
        <v>1445.89</v>
      </c>
      <c r="H1050" s="10">
        <v>1445.89</v>
      </c>
      <c r="I1050" s="10">
        <v>516.83000000000004</v>
      </c>
      <c r="J1050" s="10">
        <v>516.83000000000004</v>
      </c>
      <c r="K1050" s="10">
        <v>516.83000000000004</v>
      </c>
      <c r="L1050" s="10">
        <v>516.83000000000004</v>
      </c>
      <c r="M1050" s="10">
        <v>516.83000000000004</v>
      </c>
      <c r="N1050" s="10">
        <f>B1050+C1050+D1050+E1050+F1050+G1050+H1050+I1050+J1050+K1050+L1050+M1050</f>
        <v>12705.38</v>
      </c>
    </row>
    <row r="1051" spans="1:14" ht="4.95" customHeight="1" x14ac:dyDescent="0.2"/>
    <row r="1052" spans="1:14" ht="4.95" customHeight="1" x14ac:dyDescent="0.2">
      <c r="A1052" s="11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</row>
    <row r="1053" spans="1:14" ht="4.95" customHeight="1" x14ac:dyDescent="0.2"/>
    <row r="1054" spans="1:14" x14ac:dyDescent="0.2">
      <c r="A1054" s="16" t="s">
        <v>639</v>
      </c>
      <c r="B1054" s="9">
        <f t="shared" ref="B1054:N1054" si="193">SUM(B1047:B1050)</f>
        <v>23478.48</v>
      </c>
      <c r="C1054" s="9">
        <f t="shared" si="193"/>
        <v>23478.48</v>
      </c>
      <c r="D1054" s="9">
        <f t="shared" si="193"/>
        <v>32426.92</v>
      </c>
      <c r="E1054" s="9">
        <f t="shared" si="193"/>
        <v>24472.75</v>
      </c>
      <c r="F1054" s="9">
        <f t="shared" si="193"/>
        <v>24472.75</v>
      </c>
      <c r="G1054" s="9">
        <f t="shared" si="193"/>
        <v>24472.71</v>
      </c>
      <c r="H1054" s="9">
        <f t="shared" si="193"/>
        <v>7160.56</v>
      </c>
      <c r="I1054" s="9">
        <f t="shared" si="193"/>
        <v>38271.360000000001</v>
      </c>
      <c r="J1054" s="9">
        <f t="shared" si="193"/>
        <v>25487.040000000001</v>
      </c>
      <c r="K1054" s="9">
        <f t="shared" si="193"/>
        <v>23311.84</v>
      </c>
      <c r="L1054" s="9">
        <f t="shared" si="193"/>
        <v>23511.84</v>
      </c>
      <c r="M1054" s="9">
        <f t="shared" si="193"/>
        <v>-15467.12</v>
      </c>
      <c r="N1054" s="9">
        <f t="shared" si="193"/>
        <v>255077.61000000002</v>
      </c>
    </row>
    <row r="1055" spans="1:14" ht="4.95" customHeight="1" x14ac:dyDescent="0.2"/>
    <row r="1056" spans="1:14" x14ac:dyDescent="0.2">
      <c r="A1056" s="16" t="s">
        <v>640</v>
      </c>
      <c r="B1056" s="9">
        <f t="shared" ref="B1056:N1056" si="194">B1054</f>
        <v>23478.48</v>
      </c>
      <c r="C1056" s="9">
        <f t="shared" si="194"/>
        <v>23478.48</v>
      </c>
      <c r="D1056" s="9">
        <f t="shared" si="194"/>
        <v>32426.92</v>
      </c>
      <c r="E1056" s="9">
        <f t="shared" si="194"/>
        <v>24472.75</v>
      </c>
      <c r="F1056" s="9">
        <f t="shared" si="194"/>
        <v>24472.75</v>
      </c>
      <c r="G1056" s="9">
        <f t="shared" si="194"/>
        <v>24472.71</v>
      </c>
      <c r="H1056" s="9">
        <f t="shared" si="194"/>
        <v>7160.56</v>
      </c>
      <c r="I1056" s="9">
        <f t="shared" si="194"/>
        <v>38271.360000000001</v>
      </c>
      <c r="J1056" s="9">
        <f t="shared" si="194"/>
        <v>25487.040000000001</v>
      </c>
      <c r="K1056" s="9">
        <f t="shared" si="194"/>
        <v>23311.84</v>
      </c>
      <c r="L1056" s="9">
        <f t="shared" si="194"/>
        <v>23511.84</v>
      </c>
      <c r="M1056" s="9">
        <f t="shared" si="194"/>
        <v>-15467.12</v>
      </c>
      <c r="N1056" s="9">
        <f t="shared" si="194"/>
        <v>255077.61000000002</v>
      </c>
    </row>
    <row r="1057" spans="1:14" ht="4.95" customHeight="1" x14ac:dyDescent="0.2"/>
    <row r="1058" spans="1:14" x14ac:dyDescent="0.2">
      <c r="A1058" s="16" t="s">
        <v>50</v>
      </c>
    </row>
    <row r="1060" spans="1:14" x14ac:dyDescent="0.2">
      <c r="A1060" s="16" t="s">
        <v>641</v>
      </c>
    </row>
    <row r="1061" spans="1:14" x14ac:dyDescent="0.2">
      <c r="A1061" s="17" t="s">
        <v>642</v>
      </c>
      <c r="B1061" s="10">
        <v>0</v>
      </c>
      <c r="C1061" s="10">
        <v>0</v>
      </c>
      <c r="D1061" s="10">
        <v>0</v>
      </c>
      <c r="E1061" s="10">
        <v>0</v>
      </c>
      <c r="F1061" s="10">
        <v>0</v>
      </c>
      <c r="G1061" s="10">
        <v>0</v>
      </c>
      <c r="H1061" s="10">
        <v>0</v>
      </c>
      <c r="I1061" s="10">
        <v>0</v>
      </c>
      <c r="J1061" s="10">
        <v>0</v>
      </c>
      <c r="K1061" s="10">
        <v>0</v>
      </c>
      <c r="L1061" s="10">
        <v>-57703.74</v>
      </c>
      <c r="M1061" s="10">
        <v>57703.74</v>
      </c>
      <c r="N1061" s="10">
        <f>B1061+C1061+D1061+E1061+F1061+G1061+H1061+I1061+J1061+K1061+L1061+M1061</f>
        <v>0</v>
      </c>
    </row>
    <row r="1062" spans="1:14" x14ac:dyDescent="0.2">
      <c r="A1062" s="17" t="s">
        <v>643</v>
      </c>
      <c r="B1062" s="10">
        <v>-384.36</v>
      </c>
      <c r="C1062" s="10">
        <v>0</v>
      </c>
      <c r="D1062" s="10">
        <v>-65330.51</v>
      </c>
      <c r="E1062" s="10">
        <v>-1504</v>
      </c>
      <c r="F1062" s="10">
        <v>0</v>
      </c>
      <c r="G1062" s="10">
        <v>0</v>
      </c>
      <c r="H1062" s="10">
        <v>0</v>
      </c>
      <c r="I1062" s="10">
        <v>0</v>
      </c>
      <c r="J1062" s="10">
        <v>-72.260000000000005</v>
      </c>
      <c r="K1062" s="10">
        <v>0</v>
      </c>
      <c r="L1062" s="10">
        <v>-5316.85</v>
      </c>
      <c r="M1062" s="10">
        <v>0</v>
      </c>
      <c r="N1062" s="10">
        <f>B1062+C1062+D1062+E1062+F1062+G1062+H1062+I1062+J1062+K1062+L1062+M1062</f>
        <v>-72607.98</v>
      </c>
    </row>
    <row r="1063" spans="1:14" ht="4.95" customHeight="1" x14ac:dyDescent="0.2"/>
    <row r="1064" spans="1:14" ht="4.95" customHeight="1" x14ac:dyDescent="0.2">
      <c r="A1064" s="11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</row>
    <row r="1065" spans="1:14" ht="4.95" customHeight="1" x14ac:dyDescent="0.2"/>
    <row r="1066" spans="1:14" x14ac:dyDescent="0.2">
      <c r="A1066" s="16" t="s">
        <v>644</v>
      </c>
      <c r="B1066" s="9">
        <f t="shared" ref="B1066:N1066" si="195">SUM(B1061:B1062)</f>
        <v>-384.36</v>
      </c>
      <c r="C1066" s="9">
        <f t="shared" si="195"/>
        <v>0</v>
      </c>
      <c r="D1066" s="9">
        <f t="shared" si="195"/>
        <v>-65330.51</v>
      </c>
      <c r="E1066" s="9">
        <f t="shared" si="195"/>
        <v>-1504</v>
      </c>
      <c r="F1066" s="9">
        <f t="shared" si="195"/>
        <v>0</v>
      </c>
      <c r="G1066" s="9">
        <f t="shared" si="195"/>
        <v>0</v>
      </c>
      <c r="H1066" s="9">
        <f t="shared" si="195"/>
        <v>0</v>
      </c>
      <c r="I1066" s="9">
        <f t="shared" si="195"/>
        <v>0</v>
      </c>
      <c r="J1066" s="9">
        <f t="shared" si="195"/>
        <v>-72.260000000000005</v>
      </c>
      <c r="K1066" s="9">
        <f t="shared" si="195"/>
        <v>0</v>
      </c>
      <c r="L1066" s="9">
        <f t="shared" si="195"/>
        <v>-63020.59</v>
      </c>
      <c r="M1066" s="9">
        <f t="shared" si="195"/>
        <v>57703.74</v>
      </c>
      <c r="N1066" s="9">
        <f t="shared" si="195"/>
        <v>-72607.98</v>
      </c>
    </row>
    <row r="1067" spans="1:14" ht="4.95" customHeight="1" x14ac:dyDescent="0.2"/>
    <row r="1068" spans="1:14" x14ac:dyDescent="0.2">
      <c r="A1068" s="16" t="s">
        <v>645</v>
      </c>
      <c r="B1068" s="9">
        <f t="shared" ref="B1068:N1068" si="196">B1066</f>
        <v>-384.36</v>
      </c>
      <c r="C1068" s="9">
        <f t="shared" si="196"/>
        <v>0</v>
      </c>
      <c r="D1068" s="9">
        <f t="shared" si="196"/>
        <v>-65330.51</v>
      </c>
      <c r="E1068" s="9">
        <f t="shared" si="196"/>
        <v>-1504</v>
      </c>
      <c r="F1068" s="9">
        <f t="shared" si="196"/>
        <v>0</v>
      </c>
      <c r="G1068" s="9">
        <f t="shared" si="196"/>
        <v>0</v>
      </c>
      <c r="H1068" s="9">
        <f t="shared" si="196"/>
        <v>0</v>
      </c>
      <c r="I1068" s="9">
        <f t="shared" si="196"/>
        <v>0</v>
      </c>
      <c r="J1068" s="9">
        <f t="shared" si="196"/>
        <v>-72.260000000000005</v>
      </c>
      <c r="K1068" s="9">
        <f t="shared" si="196"/>
        <v>0</v>
      </c>
      <c r="L1068" s="9">
        <f t="shared" si="196"/>
        <v>-63020.59</v>
      </c>
      <c r="M1068" s="9">
        <f t="shared" si="196"/>
        <v>57703.74</v>
      </c>
      <c r="N1068" s="9">
        <f t="shared" si="196"/>
        <v>-72607.98</v>
      </c>
    </row>
    <row r="1069" spans="1:14" ht="4.95" customHeight="1" x14ac:dyDescent="0.2"/>
    <row r="1070" spans="1:14" x14ac:dyDescent="0.2">
      <c r="A1070" s="16" t="s">
        <v>52</v>
      </c>
    </row>
    <row r="1072" spans="1:14" x14ac:dyDescent="0.2">
      <c r="A1072" s="16" t="s">
        <v>646</v>
      </c>
    </row>
    <row r="1073" spans="1:14" x14ac:dyDescent="0.2">
      <c r="A1073" s="17" t="s">
        <v>647</v>
      </c>
      <c r="B1073" s="10">
        <v>5935.47</v>
      </c>
      <c r="C1073" s="10">
        <v>5788.7</v>
      </c>
      <c r="D1073" s="10">
        <v>7917.14</v>
      </c>
      <c r="E1073" s="10">
        <v>8783.0300000000007</v>
      </c>
      <c r="F1073" s="10">
        <v>8370.82</v>
      </c>
      <c r="G1073" s="10">
        <v>7887.98</v>
      </c>
      <c r="H1073" s="10">
        <v>8249.93</v>
      </c>
      <c r="I1073" s="10">
        <v>3714.18</v>
      </c>
      <c r="J1073" s="10">
        <v>12165.39</v>
      </c>
      <c r="K1073" s="10">
        <v>6799.67</v>
      </c>
      <c r="L1073" s="10">
        <v>6632.77</v>
      </c>
      <c r="M1073" s="10">
        <v>5695.54</v>
      </c>
      <c r="N1073" s="10">
        <f>B1073+C1073+D1073+E1073+F1073+G1073+H1073+I1073+J1073+K1073+L1073+M1073</f>
        <v>87940.62</v>
      </c>
    </row>
    <row r="1074" spans="1:14" x14ac:dyDescent="0.2">
      <c r="A1074" s="17" t="s">
        <v>648</v>
      </c>
      <c r="B1074" s="10">
        <v>0</v>
      </c>
      <c r="C1074" s="10">
        <v>0</v>
      </c>
      <c r="D1074" s="10">
        <v>0</v>
      </c>
      <c r="E1074" s="10">
        <v>0</v>
      </c>
      <c r="F1074" s="10">
        <v>0</v>
      </c>
      <c r="G1074" s="10">
        <v>0</v>
      </c>
      <c r="H1074" s="10">
        <v>0</v>
      </c>
      <c r="I1074" s="10">
        <v>0</v>
      </c>
      <c r="J1074" s="10">
        <v>0</v>
      </c>
      <c r="K1074" s="10">
        <v>0</v>
      </c>
      <c r="L1074" s="10">
        <v>0</v>
      </c>
      <c r="M1074" s="10">
        <v>277723.40999999997</v>
      </c>
      <c r="N1074" s="10">
        <f>B1074+C1074+D1074+E1074+F1074+G1074+H1074+I1074+J1074+K1074+L1074+M1074</f>
        <v>277723.40999999997</v>
      </c>
    </row>
    <row r="1075" spans="1:14" ht="4.95" customHeight="1" x14ac:dyDescent="0.2"/>
    <row r="1076" spans="1:14" ht="4.95" customHeight="1" x14ac:dyDescent="0.2">
      <c r="A1076" s="11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</row>
    <row r="1077" spans="1:14" ht="4.95" customHeight="1" x14ac:dyDescent="0.2"/>
    <row r="1078" spans="1:14" x14ac:dyDescent="0.2">
      <c r="A1078" s="16" t="s">
        <v>649</v>
      </c>
      <c r="B1078" s="9">
        <f t="shared" ref="B1078:N1078" si="197">SUM(B1073:B1074)</f>
        <v>5935.47</v>
      </c>
      <c r="C1078" s="9">
        <f t="shared" si="197"/>
        <v>5788.7</v>
      </c>
      <c r="D1078" s="9">
        <f t="shared" si="197"/>
        <v>7917.14</v>
      </c>
      <c r="E1078" s="9">
        <f t="shared" si="197"/>
        <v>8783.0300000000007</v>
      </c>
      <c r="F1078" s="9">
        <f t="shared" si="197"/>
        <v>8370.82</v>
      </c>
      <c r="G1078" s="9">
        <f t="shared" si="197"/>
        <v>7887.98</v>
      </c>
      <c r="H1078" s="9">
        <f t="shared" si="197"/>
        <v>8249.93</v>
      </c>
      <c r="I1078" s="9">
        <f t="shared" si="197"/>
        <v>3714.18</v>
      </c>
      <c r="J1078" s="9">
        <f t="shared" si="197"/>
        <v>12165.39</v>
      </c>
      <c r="K1078" s="9">
        <f t="shared" si="197"/>
        <v>6799.67</v>
      </c>
      <c r="L1078" s="9">
        <f t="shared" si="197"/>
        <v>6632.77</v>
      </c>
      <c r="M1078" s="9">
        <f t="shared" si="197"/>
        <v>283418.94999999995</v>
      </c>
      <c r="N1078" s="9">
        <f t="shared" si="197"/>
        <v>365664.02999999997</v>
      </c>
    </row>
    <row r="1079" spans="1:14" ht="4.95" customHeight="1" x14ac:dyDescent="0.2"/>
    <row r="1080" spans="1:14" ht="4.95" customHeight="1" x14ac:dyDescent="0.2"/>
    <row r="1081" spans="1:14" x14ac:dyDescent="0.2">
      <c r="A1081" s="16" t="s">
        <v>55</v>
      </c>
    </row>
    <row r="1083" spans="1:14" x14ac:dyDescent="0.2">
      <c r="A1083" s="16" t="s">
        <v>650</v>
      </c>
    </row>
    <row r="1084" spans="1:14" x14ac:dyDescent="0.2">
      <c r="A1084" s="17" t="s">
        <v>651</v>
      </c>
      <c r="B1084" s="10">
        <v>147510.32999999999</v>
      </c>
      <c r="C1084" s="10">
        <v>132986.09</v>
      </c>
      <c r="D1084" s="10">
        <v>146895.57999999999</v>
      </c>
      <c r="E1084" s="10">
        <v>141887.59</v>
      </c>
      <c r="F1084" s="10">
        <v>146316.93</v>
      </c>
      <c r="G1084" s="10">
        <v>141325.15</v>
      </c>
      <c r="H1084" s="10">
        <v>145733.29999999999</v>
      </c>
      <c r="I1084" s="10">
        <v>145449.82</v>
      </c>
      <c r="J1084" s="10">
        <v>140482.35999999999</v>
      </c>
      <c r="K1084" s="10">
        <v>144858.75</v>
      </c>
      <c r="L1084" s="10">
        <v>139907.87</v>
      </c>
      <c r="M1084" s="10">
        <v>144262.6</v>
      </c>
      <c r="N1084" s="10">
        <f>B1084+C1084+D1084+E1084+F1084+G1084+H1084+I1084+J1084+K1084+L1084+M1084</f>
        <v>1717616.37</v>
      </c>
    </row>
    <row r="1085" spans="1:14" x14ac:dyDescent="0.2">
      <c r="A1085" s="17" t="s">
        <v>652</v>
      </c>
      <c r="B1085" s="10">
        <v>73.400000000000006</v>
      </c>
      <c r="C1085" s="10">
        <v>70.23</v>
      </c>
      <c r="D1085" s="10">
        <v>60.56</v>
      </c>
      <c r="E1085" s="10">
        <v>63.86</v>
      </c>
      <c r="F1085" s="10">
        <v>58.72</v>
      </c>
      <c r="G1085" s="10">
        <v>57.48</v>
      </c>
      <c r="H1085" s="10">
        <v>52.54</v>
      </c>
      <c r="I1085" s="10">
        <v>51.09</v>
      </c>
      <c r="J1085" s="10">
        <v>47.89</v>
      </c>
      <c r="K1085" s="10">
        <v>43.26</v>
      </c>
      <c r="L1085" s="10">
        <v>41.49</v>
      </c>
      <c r="M1085" s="10">
        <v>37.049999999999997</v>
      </c>
      <c r="N1085" s="10">
        <f>B1085+C1085+D1085+E1085+F1085+G1085+H1085+I1085+J1085+K1085+L1085+M1085</f>
        <v>657.56999999999994</v>
      </c>
    </row>
    <row r="1086" spans="1:14" ht="4.95" customHeight="1" x14ac:dyDescent="0.2"/>
    <row r="1087" spans="1:14" ht="4.95" customHeight="1" x14ac:dyDescent="0.2">
      <c r="A1087" s="11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</row>
    <row r="1088" spans="1:14" ht="4.95" customHeight="1" x14ac:dyDescent="0.2"/>
    <row r="1089" spans="1:14" x14ac:dyDescent="0.2">
      <c r="A1089" s="16" t="s">
        <v>653</v>
      </c>
      <c r="B1089" s="9">
        <f t="shared" ref="B1089:N1089" si="198">SUM(B1084:B1085)</f>
        <v>147583.72999999998</v>
      </c>
      <c r="C1089" s="9">
        <f t="shared" si="198"/>
        <v>133056.32000000001</v>
      </c>
      <c r="D1089" s="9">
        <f t="shared" si="198"/>
        <v>146956.13999999998</v>
      </c>
      <c r="E1089" s="9">
        <f t="shared" si="198"/>
        <v>141951.44999999998</v>
      </c>
      <c r="F1089" s="9">
        <f t="shared" si="198"/>
        <v>146375.65</v>
      </c>
      <c r="G1089" s="9">
        <f t="shared" si="198"/>
        <v>141382.63</v>
      </c>
      <c r="H1089" s="9">
        <f t="shared" si="198"/>
        <v>145785.84</v>
      </c>
      <c r="I1089" s="9">
        <f t="shared" si="198"/>
        <v>145500.91</v>
      </c>
      <c r="J1089" s="9">
        <f t="shared" si="198"/>
        <v>140530.25</v>
      </c>
      <c r="K1089" s="9">
        <f t="shared" si="198"/>
        <v>144902.01</v>
      </c>
      <c r="L1089" s="9">
        <f t="shared" si="198"/>
        <v>139949.35999999999</v>
      </c>
      <c r="M1089" s="9">
        <f t="shared" si="198"/>
        <v>144299.65</v>
      </c>
      <c r="N1089" s="9">
        <f t="shared" si="198"/>
        <v>1718273.9400000002</v>
      </c>
    </row>
    <row r="1090" spans="1:14" ht="4.95" customHeight="1" x14ac:dyDescent="0.2"/>
    <row r="1091" spans="1:14" x14ac:dyDescent="0.2">
      <c r="A1091" s="16" t="s">
        <v>654</v>
      </c>
      <c r="B1091" s="9">
        <f t="shared" ref="B1091:N1091" si="199">B1089</f>
        <v>147583.72999999998</v>
      </c>
      <c r="C1091" s="9">
        <f t="shared" si="199"/>
        <v>133056.32000000001</v>
      </c>
      <c r="D1091" s="9">
        <f t="shared" si="199"/>
        <v>146956.13999999998</v>
      </c>
      <c r="E1091" s="9">
        <f t="shared" si="199"/>
        <v>141951.44999999998</v>
      </c>
      <c r="F1091" s="9">
        <f t="shared" si="199"/>
        <v>146375.65</v>
      </c>
      <c r="G1091" s="9">
        <f t="shared" si="199"/>
        <v>141382.63</v>
      </c>
      <c r="H1091" s="9">
        <f t="shared" si="199"/>
        <v>145785.84</v>
      </c>
      <c r="I1091" s="9">
        <f t="shared" si="199"/>
        <v>145500.91</v>
      </c>
      <c r="J1091" s="9">
        <f t="shared" si="199"/>
        <v>140530.25</v>
      </c>
      <c r="K1091" s="9">
        <f t="shared" si="199"/>
        <v>144902.01</v>
      </c>
      <c r="L1091" s="9">
        <f t="shared" si="199"/>
        <v>139949.35999999999</v>
      </c>
      <c r="M1091" s="9">
        <f t="shared" si="199"/>
        <v>144299.65</v>
      </c>
      <c r="N1091" s="9">
        <f t="shared" si="199"/>
        <v>1718273.9400000002</v>
      </c>
    </row>
    <row r="1092" spans="1:14" ht="4.95" customHeight="1" x14ac:dyDescent="0.2"/>
    <row r="1093" spans="1:14" x14ac:dyDescent="0.2">
      <c r="A1093" s="16" t="s">
        <v>57</v>
      </c>
    </row>
    <row r="1095" spans="1:14" x14ac:dyDescent="0.2">
      <c r="A1095" s="16" t="s">
        <v>655</v>
      </c>
    </row>
    <row r="1096" spans="1:14" x14ac:dyDescent="0.2">
      <c r="A1096" s="17" t="s">
        <v>656</v>
      </c>
      <c r="B1096" s="10">
        <v>0</v>
      </c>
      <c r="C1096" s="10">
        <v>0</v>
      </c>
      <c r="D1096" s="10">
        <v>0</v>
      </c>
      <c r="E1096" s="10">
        <v>0</v>
      </c>
      <c r="F1096" s="10">
        <v>0</v>
      </c>
      <c r="G1096" s="10">
        <v>0</v>
      </c>
      <c r="H1096" s="10">
        <v>0</v>
      </c>
      <c r="I1096" s="10">
        <v>0</v>
      </c>
      <c r="J1096" s="10">
        <v>0</v>
      </c>
      <c r="K1096" s="10">
        <v>0</v>
      </c>
      <c r="L1096" s="10">
        <v>0</v>
      </c>
      <c r="M1096" s="10">
        <v>1412515.86</v>
      </c>
      <c r="N1096" s="10">
        <f>B1096+C1096+D1096+E1096+F1096+G1096+H1096+I1096+J1096+K1096+L1096+M1096</f>
        <v>1412515.86</v>
      </c>
    </row>
    <row r="1097" spans="1:14" x14ac:dyDescent="0.2">
      <c r="A1097" s="17" t="s">
        <v>657</v>
      </c>
      <c r="B1097" s="10">
        <v>0</v>
      </c>
      <c r="C1097" s="10">
        <v>0</v>
      </c>
      <c r="D1097" s="10">
        <v>0</v>
      </c>
      <c r="E1097" s="10">
        <v>0</v>
      </c>
      <c r="F1097" s="10">
        <v>0</v>
      </c>
      <c r="G1097" s="10">
        <v>0</v>
      </c>
      <c r="H1097" s="10">
        <v>0</v>
      </c>
      <c r="I1097" s="10">
        <v>0</v>
      </c>
      <c r="J1097" s="10">
        <v>0</v>
      </c>
      <c r="K1097" s="10">
        <v>0</v>
      </c>
      <c r="L1097" s="10">
        <v>0</v>
      </c>
      <c r="M1097" s="10">
        <v>24471.17</v>
      </c>
      <c r="N1097" s="10">
        <f>B1097+C1097+D1097+E1097+F1097+G1097+H1097+I1097+J1097+K1097+L1097+M1097</f>
        <v>24471.17</v>
      </c>
    </row>
    <row r="1098" spans="1:14" ht="4.95" customHeight="1" x14ac:dyDescent="0.2"/>
    <row r="1099" spans="1:14" ht="4.95" customHeight="1" x14ac:dyDescent="0.2">
      <c r="A1099" s="11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</row>
    <row r="1100" spans="1:14" ht="4.95" customHeight="1" x14ac:dyDescent="0.2"/>
    <row r="1101" spans="1:14" x14ac:dyDescent="0.2">
      <c r="A1101" s="16" t="s">
        <v>658</v>
      </c>
      <c r="B1101" s="9">
        <f t="shared" ref="B1101:N1101" si="200">SUM(B1096:B1097)</f>
        <v>0</v>
      </c>
      <c r="C1101" s="9">
        <f t="shared" si="200"/>
        <v>0</v>
      </c>
      <c r="D1101" s="9">
        <f t="shared" si="200"/>
        <v>0</v>
      </c>
      <c r="E1101" s="9">
        <f t="shared" si="200"/>
        <v>0</v>
      </c>
      <c r="F1101" s="9">
        <f t="shared" si="200"/>
        <v>0</v>
      </c>
      <c r="G1101" s="9">
        <f t="shared" si="200"/>
        <v>0</v>
      </c>
      <c r="H1101" s="9">
        <f t="shared" si="200"/>
        <v>0</v>
      </c>
      <c r="I1101" s="9">
        <f t="shared" si="200"/>
        <v>0</v>
      </c>
      <c r="J1101" s="9">
        <f t="shared" si="200"/>
        <v>0</v>
      </c>
      <c r="K1101" s="9">
        <f t="shared" si="200"/>
        <v>0</v>
      </c>
      <c r="L1101" s="9">
        <f t="shared" si="200"/>
        <v>0</v>
      </c>
      <c r="M1101" s="9">
        <f t="shared" si="200"/>
        <v>1436987.03</v>
      </c>
      <c r="N1101" s="9">
        <f t="shared" si="200"/>
        <v>1436987.03</v>
      </c>
    </row>
    <row r="1102" spans="1:14" ht="4.95" customHeight="1" x14ac:dyDescent="0.2"/>
    <row r="1103" spans="1:14" x14ac:dyDescent="0.2">
      <c r="A1103" s="16" t="s">
        <v>659</v>
      </c>
      <c r="B1103" s="9">
        <f t="shared" ref="B1103:N1103" si="201">B1101</f>
        <v>0</v>
      </c>
      <c r="C1103" s="9">
        <f t="shared" si="201"/>
        <v>0</v>
      </c>
      <c r="D1103" s="9">
        <f t="shared" si="201"/>
        <v>0</v>
      </c>
      <c r="E1103" s="9">
        <f t="shared" si="201"/>
        <v>0</v>
      </c>
      <c r="F1103" s="9">
        <f t="shared" si="201"/>
        <v>0</v>
      </c>
      <c r="G1103" s="9">
        <f t="shared" si="201"/>
        <v>0</v>
      </c>
      <c r="H1103" s="9">
        <f t="shared" si="201"/>
        <v>0</v>
      </c>
      <c r="I1103" s="9">
        <f t="shared" si="201"/>
        <v>0</v>
      </c>
      <c r="J1103" s="9">
        <f t="shared" si="201"/>
        <v>0</v>
      </c>
      <c r="K1103" s="9">
        <f t="shared" si="201"/>
        <v>0</v>
      </c>
      <c r="L1103" s="9">
        <f t="shared" si="201"/>
        <v>0</v>
      </c>
      <c r="M1103" s="9">
        <f t="shared" si="201"/>
        <v>1436987.03</v>
      </c>
      <c r="N1103" s="9">
        <f t="shared" si="201"/>
        <v>1436987.03</v>
      </c>
    </row>
    <row r="1104" spans="1:14" ht="4.95" customHeight="1" x14ac:dyDescent="0.2"/>
    <row r="1105" spans="1:14" x14ac:dyDescent="0.2">
      <c r="A1105" s="16" t="s">
        <v>58</v>
      </c>
      <c r="B1105" s="9">
        <f t="shared" ref="B1105:N1105" si="202">B1006-(B1018+B1030+B1042+B1056+B1068+B1091+B1103)+(B1078)</f>
        <v>-67808.810000000027</v>
      </c>
      <c r="C1105" s="9">
        <f t="shared" si="202"/>
        <v>431938.23000000004</v>
      </c>
      <c r="D1105" s="9">
        <f t="shared" si="202"/>
        <v>585498.93999999994</v>
      </c>
      <c r="E1105" s="9">
        <f t="shared" si="202"/>
        <v>309758.87000000017</v>
      </c>
      <c r="F1105" s="9">
        <f t="shared" si="202"/>
        <v>232444.93000000011</v>
      </c>
      <c r="G1105" s="9">
        <f t="shared" si="202"/>
        <v>108813.09999999976</v>
      </c>
      <c r="H1105" s="9">
        <f t="shared" si="202"/>
        <v>-46344.339999999873</v>
      </c>
      <c r="I1105" s="9">
        <f t="shared" si="202"/>
        <v>-59118.599999999911</v>
      </c>
      <c r="J1105" s="9">
        <f t="shared" si="202"/>
        <v>-14929.539999999819</v>
      </c>
      <c r="K1105" s="9">
        <f t="shared" si="202"/>
        <v>182723.61999999997</v>
      </c>
      <c r="L1105" s="9">
        <f t="shared" si="202"/>
        <v>254359.96000000011</v>
      </c>
      <c r="M1105" s="9">
        <f t="shared" si="202"/>
        <v>-1223255.4600000002</v>
      </c>
      <c r="N1105" s="9">
        <f t="shared" si="202"/>
        <v>694080.90000000293</v>
      </c>
    </row>
    <row r="1106" spans="1:14" ht="4.95" customHeight="1" x14ac:dyDescent="0.2"/>
    <row r="1107" spans="1:14" ht="4.95" customHeight="1" x14ac:dyDescent="0.2"/>
  </sheetData>
  <mergeCells count="18">
    <mergeCell ref="L6"/>
    <mergeCell ref="M6"/>
    <mergeCell ref="N6"/>
    <mergeCell ref="A1:N1"/>
    <mergeCell ref="A2:N2"/>
    <mergeCell ref="A3:N3"/>
    <mergeCell ref="A4:N4"/>
    <mergeCell ref="A5:N5"/>
    <mergeCell ref="G6"/>
    <mergeCell ref="H6"/>
    <mergeCell ref="I6"/>
    <mergeCell ref="J6"/>
    <mergeCell ref="K6"/>
    <mergeCell ref="B6"/>
    <mergeCell ref="C6"/>
    <mergeCell ref="D6"/>
    <mergeCell ref="E6"/>
    <mergeCell ref="F6"/>
  </mergeCells>
  <printOptions horizontalCentered="1"/>
  <pageMargins left="0.25" right="0.25" top="0.25" bottom="0.42" header="0.3" footer="0.3"/>
  <pageSetup fitToHeight="0" orientation="landscape" horizontalDpi="0" verticalDpi="0"/>
  <headerFooter scaleWithDoc="0">
    <oddHeader>&amp;L&amp;"Aptos"&amp;11&amp;K008000 Information Classification - General&amp;1#_x000D_</oddHeader>
    <oddFooter>&amp;L&amp;6 05/12/2026 06:12:50 AM</oddFooter>
  </headerFooter>
</worksheet>
</file>

<file path=docMetadata/LabelInfo.xml><?xml version="1.0" encoding="utf-8"?>
<clbl:labelList xmlns:clbl="http://schemas.microsoft.com/office/2020/mipLabelMetadata">
  <clbl:label id="{2034ba00-d6fe-4eb5-af2c-5456f4ab6395}" enabled="1" method="Privileged" siteId="{686658ba-ae75-45fa-8ba9-7cefe64e294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Combined</vt:lpstr>
      <vt:lpstr>Combined!Print_Titles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 Babu</cp:lastModifiedBy>
  <dcterms:modified xsi:type="dcterms:W3CDTF">2026-05-12T10:31:36Z</dcterms:modified>
</cp:coreProperties>
</file>