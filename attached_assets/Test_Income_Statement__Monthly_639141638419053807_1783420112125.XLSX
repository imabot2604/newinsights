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Babu\Downloads\"/>
    </mc:Choice>
  </mc:AlternateContent>
  <xr:revisionPtr revIDLastSave="0" documentId="13_ncr:1_{CDD3D71A-C082-4034-908B-304BA11E1BCC}" xr6:coauthVersionLast="47" xr6:coauthVersionMax="47" xr10:uidLastSave="{00000000-0000-0000-0000-000000000000}"/>
  <bookViews>
    <workbookView xWindow="30765" yWindow="1890" windowWidth="17280" windowHeight="8880" xr2:uid="{00000000-000D-0000-FFFF-FFFF00000000}"/>
  </bookViews>
  <sheets>
    <sheet name="Combined" sheetId="1" r:id="rId1"/>
  </sheets>
  <definedNames>
    <definedName name="_xlnm.Print_Titles" localSheetId="0">Combined!$1:$7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80" i="1" l="1"/>
  <c r="M1082" i="1" s="1"/>
  <c r="L1080" i="1"/>
  <c r="L1082" i="1" s="1"/>
  <c r="K1080" i="1"/>
  <c r="K1082" i="1" s="1"/>
  <c r="J1080" i="1"/>
  <c r="J1082" i="1" s="1"/>
  <c r="I1080" i="1"/>
  <c r="I1082" i="1" s="1"/>
  <c r="H1080" i="1"/>
  <c r="H1082" i="1" s="1"/>
  <c r="G1080" i="1"/>
  <c r="G1082" i="1" s="1"/>
  <c r="F1080" i="1"/>
  <c r="F1082" i="1" s="1"/>
  <c r="F82" i="1" s="1"/>
  <c r="E1080" i="1"/>
  <c r="E1082" i="1" s="1"/>
  <c r="D1080" i="1"/>
  <c r="D1082" i="1" s="1"/>
  <c r="C1080" i="1"/>
  <c r="C1082" i="1" s="1"/>
  <c r="B1080" i="1"/>
  <c r="B1082" i="1" s="1"/>
  <c r="N1076" i="1"/>
  <c r="N1075" i="1"/>
  <c r="N1080" i="1" s="1"/>
  <c r="N1082" i="1" s="1"/>
  <c r="I1070" i="1"/>
  <c r="H1070" i="1"/>
  <c r="H78" i="1" s="1"/>
  <c r="G1070" i="1"/>
  <c r="M1068" i="1"/>
  <c r="M1070" i="1" s="1"/>
  <c r="L1068" i="1"/>
  <c r="L1070" i="1" s="1"/>
  <c r="K1068" i="1"/>
  <c r="K1070" i="1" s="1"/>
  <c r="J1068" i="1"/>
  <c r="J1070" i="1" s="1"/>
  <c r="J78" i="1" s="1"/>
  <c r="I1068" i="1"/>
  <c r="H1068" i="1"/>
  <c r="G1068" i="1"/>
  <c r="F1068" i="1"/>
  <c r="F1070" i="1" s="1"/>
  <c r="E1068" i="1"/>
  <c r="E1070" i="1" s="1"/>
  <c r="D1068" i="1"/>
  <c r="D1070" i="1" s="1"/>
  <c r="C1068" i="1"/>
  <c r="C1070" i="1" s="1"/>
  <c r="B1068" i="1"/>
  <c r="B1070" i="1" s="1"/>
  <c r="B78" i="1" s="1"/>
  <c r="N1064" i="1"/>
  <c r="N1063" i="1"/>
  <c r="N1068" i="1" s="1"/>
  <c r="N1070" i="1" s="1"/>
  <c r="M1057" i="1"/>
  <c r="L1057" i="1"/>
  <c r="K1057" i="1"/>
  <c r="J1057" i="1"/>
  <c r="I1057" i="1"/>
  <c r="H1057" i="1"/>
  <c r="H72" i="1" s="1"/>
  <c r="G1057" i="1"/>
  <c r="F1057" i="1"/>
  <c r="E1057" i="1"/>
  <c r="D1057" i="1"/>
  <c r="C1057" i="1"/>
  <c r="B1057" i="1"/>
  <c r="N1053" i="1"/>
  <c r="N1052" i="1"/>
  <c r="N1057" i="1" s="1"/>
  <c r="N72" i="1" s="1"/>
  <c r="K1047" i="1"/>
  <c r="J1047" i="1"/>
  <c r="G1047" i="1"/>
  <c r="G67" i="1" s="1"/>
  <c r="G70" i="1" s="1"/>
  <c r="F1047" i="1"/>
  <c r="C1047" i="1"/>
  <c r="B1047" i="1"/>
  <c r="M1045" i="1"/>
  <c r="M1047" i="1" s="1"/>
  <c r="L1045" i="1"/>
  <c r="L1047" i="1" s="1"/>
  <c r="K1045" i="1"/>
  <c r="J1045" i="1"/>
  <c r="I1045" i="1"/>
  <c r="I1047" i="1" s="1"/>
  <c r="I67" i="1" s="1"/>
  <c r="H1045" i="1"/>
  <c r="H1047" i="1" s="1"/>
  <c r="G1045" i="1"/>
  <c r="F1045" i="1"/>
  <c r="E1045" i="1"/>
  <c r="E1047" i="1" s="1"/>
  <c r="D1045" i="1"/>
  <c r="D1047" i="1" s="1"/>
  <c r="C1045" i="1"/>
  <c r="B1045" i="1"/>
  <c r="N1041" i="1"/>
  <c r="N1045" i="1" s="1"/>
  <c r="N1047" i="1" s="1"/>
  <c r="N67" i="1" s="1"/>
  <c r="M1036" i="1"/>
  <c r="J1036" i="1"/>
  <c r="I1036" i="1"/>
  <c r="F1036" i="1"/>
  <c r="F66" i="1" s="1"/>
  <c r="E1036" i="1"/>
  <c r="B1036" i="1"/>
  <c r="M1034" i="1"/>
  <c r="L1034" i="1"/>
  <c r="L1036" i="1" s="1"/>
  <c r="K1034" i="1"/>
  <c r="K1036" i="1" s="1"/>
  <c r="J1034" i="1"/>
  <c r="I1034" i="1"/>
  <c r="H1034" i="1"/>
  <c r="H1036" i="1" s="1"/>
  <c r="H66" i="1" s="1"/>
  <c r="G1034" i="1"/>
  <c r="G1036" i="1" s="1"/>
  <c r="F1034" i="1"/>
  <c r="E1034" i="1"/>
  <c r="D1034" i="1"/>
  <c r="D1036" i="1" s="1"/>
  <c r="C1034" i="1"/>
  <c r="C1036" i="1" s="1"/>
  <c r="B1034" i="1"/>
  <c r="N1030" i="1"/>
  <c r="N1029" i="1"/>
  <c r="N1028" i="1"/>
  <c r="N1027" i="1"/>
  <c r="N1034" i="1" s="1"/>
  <c r="N1036" i="1" s="1"/>
  <c r="N66" i="1" s="1"/>
  <c r="N1026" i="1"/>
  <c r="M1021" i="1"/>
  <c r="I1021" i="1"/>
  <c r="H1021" i="1"/>
  <c r="E1021" i="1"/>
  <c r="N1019" i="1"/>
  <c r="N1021" i="1" s="1"/>
  <c r="M1019" i="1"/>
  <c r="L1019" i="1"/>
  <c r="L1021" i="1" s="1"/>
  <c r="K1019" i="1"/>
  <c r="K1021" i="1" s="1"/>
  <c r="K65" i="1" s="1"/>
  <c r="K70" i="1" s="1"/>
  <c r="J1019" i="1"/>
  <c r="J1021" i="1" s="1"/>
  <c r="I1019" i="1"/>
  <c r="H1019" i="1"/>
  <c r="G1019" i="1"/>
  <c r="G1021" i="1" s="1"/>
  <c r="F1019" i="1"/>
  <c r="F1021" i="1" s="1"/>
  <c r="E1019" i="1"/>
  <c r="D1019" i="1"/>
  <c r="D1021" i="1" s="1"/>
  <c r="C1019" i="1"/>
  <c r="C1021" i="1" s="1"/>
  <c r="C65" i="1" s="1"/>
  <c r="C70" i="1" s="1"/>
  <c r="B1019" i="1"/>
  <c r="B1021" i="1" s="1"/>
  <c r="N1015" i="1"/>
  <c r="N1014" i="1"/>
  <c r="M1009" i="1"/>
  <c r="L1009" i="1"/>
  <c r="I1009" i="1"/>
  <c r="E1009" i="1"/>
  <c r="D1009" i="1"/>
  <c r="N1007" i="1"/>
  <c r="N1009" i="1" s="1"/>
  <c r="M1007" i="1"/>
  <c r="L1007" i="1"/>
  <c r="K1007" i="1"/>
  <c r="K1009" i="1" s="1"/>
  <c r="J1007" i="1"/>
  <c r="J1009" i="1" s="1"/>
  <c r="J58" i="1" s="1"/>
  <c r="I1007" i="1"/>
  <c r="H1007" i="1"/>
  <c r="H1009" i="1" s="1"/>
  <c r="G1007" i="1"/>
  <c r="G1009" i="1" s="1"/>
  <c r="G58" i="1" s="1"/>
  <c r="F1007" i="1"/>
  <c r="F1009" i="1" s="1"/>
  <c r="E1007" i="1"/>
  <c r="D1007" i="1"/>
  <c r="C1007" i="1"/>
  <c r="C1009" i="1" s="1"/>
  <c r="B1007" i="1"/>
  <c r="B1009" i="1" s="1"/>
  <c r="B58" i="1" s="1"/>
  <c r="N1003" i="1"/>
  <c r="N1002" i="1"/>
  <c r="M997" i="1"/>
  <c r="I997" i="1"/>
  <c r="H997" i="1"/>
  <c r="E997" i="1"/>
  <c r="N995" i="1"/>
  <c r="N997" i="1" s="1"/>
  <c r="M995" i="1"/>
  <c r="L995" i="1"/>
  <c r="L997" i="1" s="1"/>
  <c r="K995" i="1"/>
  <c r="K997" i="1" s="1"/>
  <c r="J995" i="1"/>
  <c r="J997" i="1" s="1"/>
  <c r="J57" i="1" s="1"/>
  <c r="J60" i="1" s="1"/>
  <c r="I995" i="1"/>
  <c r="H995" i="1"/>
  <c r="G995" i="1"/>
  <c r="G997" i="1" s="1"/>
  <c r="F995" i="1"/>
  <c r="F997" i="1" s="1"/>
  <c r="E995" i="1"/>
  <c r="D995" i="1"/>
  <c r="D997" i="1" s="1"/>
  <c r="C995" i="1"/>
  <c r="C997" i="1" s="1"/>
  <c r="B995" i="1"/>
  <c r="B997" i="1" s="1"/>
  <c r="B57" i="1" s="1"/>
  <c r="B60" i="1" s="1"/>
  <c r="N991" i="1"/>
  <c r="N990" i="1"/>
  <c r="K977" i="1"/>
  <c r="G977" i="1"/>
  <c r="F977" i="1"/>
  <c r="C977" i="1"/>
  <c r="C47" i="1" s="1"/>
  <c r="M975" i="1"/>
  <c r="M977" i="1" s="1"/>
  <c r="L975" i="1"/>
  <c r="L977" i="1" s="1"/>
  <c r="K975" i="1"/>
  <c r="J975" i="1"/>
  <c r="J977" i="1" s="1"/>
  <c r="I975" i="1"/>
  <c r="I977" i="1" s="1"/>
  <c r="H975" i="1"/>
  <c r="H977" i="1" s="1"/>
  <c r="G975" i="1"/>
  <c r="F975" i="1"/>
  <c r="E975" i="1"/>
  <c r="E977" i="1" s="1"/>
  <c r="D975" i="1"/>
  <c r="D977" i="1" s="1"/>
  <c r="C975" i="1"/>
  <c r="B975" i="1"/>
  <c r="B977" i="1" s="1"/>
  <c r="N971" i="1"/>
  <c r="N970" i="1"/>
  <c r="N969" i="1"/>
  <c r="N968" i="1"/>
  <c r="N967" i="1"/>
  <c r="J962" i="1"/>
  <c r="C960" i="1"/>
  <c r="C962" i="1" s="1"/>
  <c r="M956" i="1"/>
  <c r="L956" i="1"/>
  <c r="K956" i="1"/>
  <c r="J956" i="1"/>
  <c r="I956" i="1"/>
  <c r="H956" i="1"/>
  <c r="G956" i="1"/>
  <c r="F956" i="1"/>
  <c r="E956" i="1"/>
  <c r="D956" i="1"/>
  <c r="C956" i="1"/>
  <c r="B956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N920" i="1"/>
  <c r="N919" i="1"/>
  <c r="N918" i="1"/>
  <c r="N917" i="1"/>
  <c r="N916" i="1"/>
  <c r="N915" i="1"/>
  <c r="N914" i="1"/>
  <c r="M911" i="1"/>
  <c r="I911" i="1"/>
  <c r="I924" i="1" s="1"/>
  <c r="I960" i="1" s="1"/>
  <c r="I962" i="1" s="1"/>
  <c r="E911" i="1"/>
  <c r="E924" i="1" s="1"/>
  <c r="E960" i="1" s="1"/>
  <c r="E962" i="1" s="1"/>
  <c r="E46" i="1" s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N909" i="1"/>
  <c r="M906" i="1"/>
  <c r="L906" i="1"/>
  <c r="L911" i="1" s="1"/>
  <c r="L924" i="1" s="1"/>
  <c r="L960" i="1" s="1"/>
  <c r="L962" i="1" s="1"/>
  <c r="L46" i="1" s="1"/>
  <c r="K906" i="1"/>
  <c r="K911" i="1" s="1"/>
  <c r="K924" i="1" s="1"/>
  <c r="K960" i="1" s="1"/>
  <c r="K962" i="1" s="1"/>
  <c r="J906" i="1"/>
  <c r="J911" i="1" s="1"/>
  <c r="J924" i="1" s="1"/>
  <c r="J960" i="1" s="1"/>
  <c r="I906" i="1"/>
  <c r="H906" i="1"/>
  <c r="H911" i="1" s="1"/>
  <c r="H924" i="1" s="1"/>
  <c r="H960" i="1" s="1"/>
  <c r="H962" i="1" s="1"/>
  <c r="G906" i="1"/>
  <c r="G911" i="1" s="1"/>
  <c r="G924" i="1" s="1"/>
  <c r="G960" i="1" s="1"/>
  <c r="G962" i="1" s="1"/>
  <c r="F906" i="1"/>
  <c r="F911" i="1" s="1"/>
  <c r="F924" i="1" s="1"/>
  <c r="F960" i="1" s="1"/>
  <c r="F962" i="1" s="1"/>
  <c r="E906" i="1"/>
  <c r="D906" i="1"/>
  <c r="D911" i="1" s="1"/>
  <c r="D924" i="1" s="1"/>
  <c r="D960" i="1" s="1"/>
  <c r="D962" i="1" s="1"/>
  <c r="C906" i="1"/>
  <c r="C911" i="1" s="1"/>
  <c r="C924" i="1" s="1"/>
  <c r="B906" i="1"/>
  <c r="B911" i="1" s="1"/>
  <c r="B924" i="1" s="1"/>
  <c r="B960" i="1" s="1"/>
  <c r="B962" i="1" s="1"/>
  <c r="N905" i="1"/>
  <c r="N906" i="1" s="1"/>
  <c r="N911" i="1" s="1"/>
  <c r="J896" i="1"/>
  <c r="F896" i="1"/>
  <c r="B896" i="1"/>
  <c r="M894" i="1"/>
  <c r="M896" i="1" s="1"/>
  <c r="M45" i="1" s="1"/>
  <c r="L894" i="1"/>
  <c r="L896" i="1" s="1"/>
  <c r="K894" i="1"/>
  <c r="K896" i="1" s="1"/>
  <c r="J894" i="1"/>
  <c r="I894" i="1"/>
  <c r="I896" i="1" s="1"/>
  <c r="H894" i="1"/>
  <c r="H896" i="1" s="1"/>
  <c r="G894" i="1"/>
  <c r="G896" i="1" s="1"/>
  <c r="F894" i="1"/>
  <c r="E894" i="1"/>
  <c r="E896" i="1" s="1"/>
  <c r="E45" i="1" s="1"/>
  <c r="D894" i="1"/>
  <c r="D896" i="1" s="1"/>
  <c r="C894" i="1"/>
  <c r="C896" i="1" s="1"/>
  <c r="B894" i="1"/>
  <c r="N890" i="1"/>
  <c r="N889" i="1"/>
  <c r="N888" i="1"/>
  <c r="N887" i="1"/>
  <c r="L882" i="1"/>
  <c r="L44" i="1" s="1"/>
  <c r="M880" i="1"/>
  <c r="M882" i="1" s="1"/>
  <c r="M44" i="1" s="1"/>
  <c r="M876" i="1"/>
  <c r="L876" i="1"/>
  <c r="K876" i="1"/>
  <c r="J876" i="1"/>
  <c r="I876" i="1"/>
  <c r="H876" i="1"/>
  <c r="G876" i="1"/>
  <c r="F876" i="1"/>
  <c r="E876" i="1"/>
  <c r="D876" i="1"/>
  <c r="C876" i="1"/>
  <c r="B876" i="1"/>
  <c r="N873" i="1"/>
  <c r="N872" i="1"/>
  <c r="N871" i="1"/>
  <c r="N870" i="1"/>
  <c r="N869" i="1"/>
  <c r="N868" i="1"/>
  <c r="N867" i="1"/>
  <c r="N866" i="1"/>
  <c r="N876" i="1" s="1"/>
  <c r="K863" i="1"/>
  <c r="K880" i="1" s="1"/>
  <c r="K882" i="1" s="1"/>
  <c r="K44" i="1" s="1"/>
  <c r="M860" i="1"/>
  <c r="L860" i="1"/>
  <c r="K860" i="1"/>
  <c r="J860" i="1"/>
  <c r="I860" i="1"/>
  <c r="H860" i="1"/>
  <c r="G860" i="1"/>
  <c r="F860" i="1"/>
  <c r="E860" i="1"/>
  <c r="D860" i="1"/>
  <c r="C860" i="1"/>
  <c r="B860" i="1"/>
  <c r="N859" i="1"/>
  <c r="N858" i="1"/>
  <c r="N857" i="1"/>
  <c r="N856" i="1"/>
  <c r="N855" i="1"/>
  <c r="N854" i="1"/>
  <c r="N853" i="1"/>
  <c r="N860" i="1" s="1"/>
  <c r="L850" i="1"/>
  <c r="L863" i="1" s="1"/>
  <c r="L880" i="1" s="1"/>
  <c r="H850" i="1"/>
  <c r="D850" i="1"/>
  <c r="D863" i="1" s="1"/>
  <c r="D880" i="1" s="1"/>
  <c r="D882" i="1" s="1"/>
  <c r="M849" i="1"/>
  <c r="L849" i="1"/>
  <c r="K849" i="1"/>
  <c r="J849" i="1"/>
  <c r="I849" i="1"/>
  <c r="H849" i="1"/>
  <c r="G849" i="1"/>
  <c r="F849" i="1"/>
  <c r="E849" i="1"/>
  <c r="D849" i="1"/>
  <c r="C849" i="1"/>
  <c r="B849" i="1"/>
  <c r="N848" i="1"/>
  <c r="N849" i="1" s="1"/>
  <c r="M845" i="1"/>
  <c r="M850" i="1" s="1"/>
  <c r="M863" i="1" s="1"/>
  <c r="L845" i="1"/>
  <c r="K845" i="1"/>
  <c r="K850" i="1" s="1"/>
  <c r="J845" i="1"/>
  <c r="J850" i="1" s="1"/>
  <c r="J863" i="1" s="1"/>
  <c r="I845" i="1"/>
  <c r="H845" i="1"/>
  <c r="G845" i="1"/>
  <c r="G850" i="1" s="1"/>
  <c r="G863" i="1" s="1"/>
  <c r="G880" i="1" s="1"/>
  <c r="G882" i="1" s="1"/>
  <c r="F845" i="1"/>
  <c r="F850" i="1" s="1"/>
  <c r="F863" i="1" s="1"/>
  <c r="F880" i="1" s="1"/>
  <c r="F882" i="1" s="1"/>
  <c r="E845" i="1"/>
  <c r="E850" i="1" s="1"/>
  <c r="E863" i="1" s="1"/>
  <c r="E880" i="1" s="1"/>
  <c r="E882" i="1" s="1"/>
  <c r="D845" i="1"/>
  <c r="C845" i="1"/>
  <c r="C850" i="1" s="1"/>
  <c r="C863" i="1" s="1"/>
  <c r="C880" i="1" s="1"/>
  <c r="C882" i="1" s="1"/>
  <c r="B845" i="1"/>
  <c r="B850" i="1" s="1"/>
  <c r="B863" i="1" s="1"/>
  <c r="N844" i="1"/>
  <c r="N843" i="1"/>
  <c r="N845" i="1" s="1"/>
  <c r="J834" i="1"/>
  <c r="J43" i="1" s="1"/>
  <c r="M832" i="1"/>
  <c r="L832" i="1"/>
  <c r="K832" i="1"/>
  <c r="J832" i="1"/>
  <c r="I832" i="1"/>
  <c r="H832" i="1"/>
  <c r="G832" i="1"/>
  <c r="F832" i="1"/>
  <c r="E832" i="1"/>
  <c r="D832" i="1"/>
  <c r="C832" i="1"/>
  <c r="B832" i="1"/>
  <c r="N828" i="1"/>
  <c r="N827" i="1"/>
  <c r="N826" i="1"/>
  <c r="N832" i="1" s="1"/>
  <c r="K823" i="1"/>
  <c r="K834" i="1" s="1"/>
  <c r="G823" i="1"/>
  <c r="G834" i="1" s="1"/>
  <c r="G43" i="1" s="1"/>
  <c r="C823" i="1"/>
  <c r="C834" i="1" s="1"/>
  <c r="M819" i="1"/>
  <c r="L819" i="1"/>
  <c r="K819" i="1"/>
  <c r="J819" i="1"/>
  <c r="I819" i="1"/>
  <c r="H819" i="1"/>
  <c r="G819" i="1"/>
  <c r="F819" i="1"/>
  <c r="E819" i="1"/>
  <c r="D819" i="1"/>
  <c r="C819" i="1"/>
  <c r="B819" i="1"/>
  <c r="N816" i="1"/>
  <c r="N815" i="1"/>
  <c r="N819" i="1" s="1"/>
  <c r="M812" i="1"/>
  <c r="M823" i="1" s="1"/>
  <c r="M834" i="1" s="1"/>
  <c r="M43" i="1" s="1"/>
  <c r="L812" i="1"/>
  <c r="K812" i="1"/>
  <c r="J812" i="1"/>
  <c r="J823" i="1" s="1"/>
  <c r="I812" i="1"/>
  <c r="I823" i="1" s="1"/>
  <c r="I834" i="1" s="1"/>
  <c r="H812" i="1"/>
  <c r="H823" i="1" s="1"/>
  <c r="H834" i="1" s="1"/>
  <c r="H43" i="1" s="1"/>
  <c r="G812" i="1"/>
  <c r="F812" i="1"/>
  <c r="F823" i="1" s="1"/>
  <c r="F834" i="1" s="1"/>
  <c r="F43" i="1" s="1"/>
  <c r="E812" i="1"/>
  <c r="E823" i="1" s="1"/>
  <c r="E834" i="1" s="1"/>
  <c r="E43" i="1" s="1"/>
  <c r="E50" i="1" s="1"/>
  <c r="D812" i="1"/>
  <c r="C812" i="1"/>
  <c r="B812" i="1"/>
  <c r="B823" i="1" s="1"/>
  <c r="B834" i="1" s="1"/>
  <c r="N809" i="1"/>
  <c r="N808" i="1"/>
  <c r="N812" i="1" s="1"/>
  <c r="N823" i="1" s="1"/>
  <c r="N834" i="1" s="1"/>
  <c r="J802" i="1"/>
  <c r="F802" i="1"/>
  <c r="F42" i="1" s="1"/>
  <c r="F50" i="1" s="1"/>
  <c r="M796" i="1"/>
  <c r="L796" i="1"/>
  <c r="K796" i="1"/>
  <c r="J796" i="1"/>
  <c r="I796" i="1"/>
  <c r="H796" i="1"/>
  <c r="G796" i="1"/>
  <c r="F796" i="1"/>
  <c r="E796" i="1"/>
  <c r="D796" i="1"/>
  <c r="C796" i="1"/>
  <c r="B796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N769" i="1"/>
  <c r="N768" i="1"/>
  <c r="N767" i="1"/>
  <c r="N766" i="1"/>
  <c r="N765" i="1"/>
  <c r="N764" i="1"/>
  <c r="N763" i="1"/>
  <c r="N770" i="1" s="1"/>
  <c r="L760" i="1"/>
  <c r="H760" i="1"/>
  <c r="D760" i="1"/>
  <c r="D773" i="1" s="1"/>
  <c r="D800" i="1" s="1"/>
  <c r="D802" i="1" s="1"/>
  <c r="M759" i="1"/>
  <c r="L759" i="1"/>
  <c r="K759" i="1"/>
  <c r="J759" i="1"/>
  <c r="I759" i="1"/>
  <c r="H759" i="1"/>
  <c r="G759" i="1"/>
  <c r="F759" i="1"/>
  <c r="E759" i="1"/>
  <c r="D759" i="1"/>
  <c r="C759" i="1"/>
  <c r="B759" i="1"/>
  <c r="N758" i="1"/>
  <c r="N757" i="1"/>
  <c r="N756" i="1"/>
  <c r="M753" i="1"/>
  <c r="M760" i="1" s="1"/>
  <c r="M773" i="1" s="1"/>
  <c r="M800" i="1" s="1"/>
  <c r="M802" i="1" s="1"/>
  <c r="L753" i="1"/>
  <c r="K753" i="1"/>
  <c r="K760" i="1" s="1"/>
  <c r="K773" i="1" s="1"/>
  <c r="K800" i="1" s="1"/>
  <c r="K802" i="1" s="1"/>
  <c r="J753" i="1"/>
  <c r="J760" i="1" s="1"/>
  <c r="J773" i="1" s="1"/>
  <c r="J800" i="1" s="1"/>
  <c r="I753" i="1"/>
  <c r="H753" i="1"/>
  <c r="G753" i="1"/>
  <c r="G760" i="1" s="1"/>
  <c r="G773" i="1" s="1"/>
  <c r="G800" i="1" s="1"/>
  <c r="G802" i="1" s="1"/>
  <c r="F753" i="1"/>
  <c r="F760" i="1" s="1"/>
  <c r="F773" i="1" s="1"/>
  <c r="F800" i="1" s="1"/>
  <c r="E753" i="1"/>
  <c r="E760" i="1" s="1"/>
  <c r="E773" i="1" s="1"/>
  <c r="E800" i="1" s="1"/>
  <c r="E802" i="1" s="1"/>
  <c r="D753" i="1"/>
  <c r="C753" i="1"/>
  <c r="C760" i="1" s="1"/>
  <c r="C773" i="1" s="1"/>
  <c r="C800" i="1" s="1"/>
  <c r="C802" i="1" s="1"/>
  <c r="C42" i="1" s="1"/>
  <c r="B753" i="1"/>
  <c r="B760" i="1" s="1"/>
  <c r="B773" i="1" s="1"/>
  <c r="B800" i="1" s="1"/>
  <c r="B802" i="1" s="1"/>
  <c r="B42" i="1" s="1"/>
  <c r="N752" i="1"/>
  <c r="N751" i="1"/>
  <c r="N753" i="1" s="1"/>
  <c r="M737" i="1"/>
  <c r="L737" i="1"/>
  <c r="K737" i="1"/>
  <c r="J737" i="1"/>
  <c r="I737" i="1"/>
  <c r="I20" i="1" s="1"/>
  <c r="H737" i="1"/>
  <c r="G737" i="1"/>
  <c r="F737" i="1"/>
  <c r="E737" i="1"/>
  <c r="D737" i="1"/>
  <c r="C737" i="1"/>
  <c r="B737" i="1"/>
  <c r="N733" i="1"/>
  <c r="N732" i="1"/>
  <c r="N731" i="1"/>
  <c r="N730" i="1"/>
  <c r="N729" i="1"/>
  <c r="N728" i="1"/>
  <c r="N727" i="1"/>
  <c r="N726" i="1"/>
  <c r="N725" i="1"/>
  <c r="N724" i="1"/>
  <c r="L718" i="1"/>
  <c r="H718" i="1"/>
  <c r="D718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M711" i="1"/>
  <c r="L711" i="1"/>
  <c r="K711" i="1"/>
  <c r="K718" i="1" s="1"/>
  <c r="J711" i="1"/>
  <c r="I711" i="1"/>
  <c r="I718" i="1" s="1"/>
  <c r="H711" i="1"/>
  <c r="G711" i="1"/>
  <c r="G718" i="1" s="1"/>
  <c r="F711" i="1"/>
  <c r="F718" i="1" s="1"/>
  <c r="E711" i="1"/>
  <c r="D711" i="1"/>
  <c r="C711" i="1"/>
  <c r="C718" i="1" s="1"/>
  <c r="B711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N702" i="1"/>
  <c r="N701" i="1"/>
  <c r="N700" i="1"/>
  <c r="N699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N692" i="1"/>
  <c r="N691" i="1"/>
  <c r="N690" i="1"/>
  <c r="N711" i="1" s="1"/>
  <c r="J683" i="1"/>
  <c r="J28" i="1" s="1"/>
  <c r="F683" i="1"/>
  <c r="B683" i="1"/>
  <c r="K680" i="1"/>
  <c r="M678" i="1"/>
  <c r="M683" i="1" s="1"/>
  <c r="M685" i="1" s="1"/>
  <c r="L678" i="1"/>
  <c r="L683" i="1" s="1"/>
  <c r="K678" i="1"/>
  <c r="K683" i="1" s="1"/>
  <c r="K28" i="1" s="1"/>
  <c r="K35" i="1" s="1"/>
  <c r="J678" i="1"/>
  <c r="I678" i="1"/>
  <c r="I683" i="1" s="1"/>
  <c r="I685" i="1" s="1"/>
  <c r="H678" i="1"/>
  <c r="H683" i="1" s="1"/>
  <c r="H28" i="1" s="1"/>
  <c r="G678" i="1"/>
  <c r="G683" i="1" s="1"/>
  <c r="F678" i="1"/>
  <c r="E678" i="1"/>
  <c r="E683" i="1" s="1"/>
  <c r="E685" i="1" s="1"/>
  <c r="D678" i="1"/>
  <c r="D683" i="1" s="1"/>
  <c r="C678" i="1"/>
  <c r="C683" i="1" s="1"/>
  <c r="C28" i="1" s="1"/>
  <c r="C35" i="1" s="1"/>
  <c r="B678" i="1"/>
  <c r="N674" i="1"/>
  <c r="N673" i="1"/>
  <c r="N678" i="1" s="1"/>
  <c r="N683" i="1" s="1"/>
  <c r="M670" i="1"/>
  <c r="M680" i="1" s="1"/>
  <c r="L670" i="1"/>
  <c r="L685" i="1" s="1"/>
  <c r="K670" i="1"/>
  <c r="J670" i="1"/>
  <c r="I670" i="1"/>
  <c r="I680" i="1" s="1"/>
  <c r="H670" i="1"/>
  <c r="G670" i="1"/>
  <c r="G685" i="1" s="1"/>
  <c r="F670" i="1"/>
  <c r="F680" i="1" s="1"/>
  <c r="E670" i="1"/>
  <c r="E680" i="1" s="1"/>
  <c r="D670" i="1"/>
  <c r="C670" i="1"/>
  <c r="B670" i="1"/>
  <c r="N666" i="1"/>
  <c r="N670" i="1" s="1"/>
  <c r="N659" i="1"/>
  <c r="N658" i="1"/>
  <c r="N657" i="1"/>
  <c r="N656" i="1"/>
  <c r="N655" i="1"/>
  <c r="N654" i="1"/>
  <c r="L648" i="1"/>
  <c r="H648" i="1"/>
  <c r="I645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N641" i="1"/>
  <c r="N640" i="1"/>
  <c r="N639" i="1"/>
  <c r="N638" i="1"/>
  <c r="N642" i="1" s="1"/>
  <c r="K635" i="1"/>
  <c r="K645" i="1" s="1"/>
  <c r="J635" i="1"/>
  <c r="J645" i="1" s="1"/>
  <c r="G635" i="1"/>
  <c r="G645" i="1" s="1"/>
  <c r="C635" i="1"/>
  <c r="C645" i="1" s="1"/>
  <c r="B635" i="1"/>
  <c r="M634" i="1"/>
  <c r="M635" i="1" s="1"/>
  <c r="M645" i="1" s="1"/>
  <c r="L634" i="1"/>
  <c r="L635" i="1" s="1"/>
  <c r="L645" i="1" s="1"/>
  <c r="K634" i="1"/>
  <c r="J634" i="1"/>
  <c r="I634" i="1"/>
  <c r="I635" i="1" s="1"/>
  <c r="H634" i="1"/>
  <c r="H635" i="1" s="1"/>
  <c r="H645" i="1" s="1"/>
  <c r="G634" i="1"/>
  <c r="F634" i="1"/>
  <c r="F635" i="1" s="1"/>
  <c r="E634" i="1"/>
  <c r="E635" i="1" s="1"/>
  <c r="E645" i="1" s="1"/>
  <c r="D634" i="1"/>
  <c r="D635" i="1" s="1"/>
  <c r="D645" i="1" s="1"/>
  <c r="D648" i="1" s="1"/>
  <c r="C634" i="1"/>
  <c r="B634" i="1"/>
  <c r="N633" i="1"/>
  <c r="N634" i="1" s="1"/>
  <c r="N635" i="1" s="1"/>
  <c r="M625" i="1"/>
  <c r="L625" i="1"/>
  <c r="K625" i="1"/>
  <c r="K648" i="1" s="1"/>
  <c r="J625" i="1"/>
  <c r="J648" i="1" s="1"/>
  <c r="I625" i="1"/>
  <c r="I648" i="1" s="1"/>
  <c r="H625" i="1"/>
  <c r="G625" i="1"/>
  <c r="F625" i="1"/>
  <c r="E625" i="1"/>
  <c r="D625" i="1"/>
  <c r="C625" i="1"/>
  <c r="C648" i="1" s="1"/>
  <c r="B625" i="1"/>
  <c r="N621" i="1"/>
  <c r="N620" i="1"/>
  <c r="N625" i="1" s="1"/>
  <c r="J617" i="1"/>
  <c r="J650" i="1" s="1"/>
  <c r="F617" i="1"/>
  <c r="B617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N610" i="1"/>
  <c r="N613" i="1" s="1"/>
  <c r="M607" i="1"/>
  <c r="L607" i="1"/>
  <c r="K607" i="1"/>
  <c r="J607" i="1"/>
  <c r="I607" i="1"/>
  <c r="H607" i="1"/>
  <c r="G607" i="1"/>
  <c r="F607" i="1"/>
  <c r="E607" i="1"/>
  <c r="D607" i="1"/>
  <c r="C607" i="1"/>
  <c r="B607" i="1"/>
  <c r="N604" i="1"/>
  <c r="N603" i="1"/>
  <c r="N602" i="1"/>
  <c r="M599" i="1"/>
  <c r="L599" i="1"/>
  <c r="L617" i="1" s="1"/>
  <c r="K599" i="1"/>
  <c r="J599" i="1"/>
  <c r="I599" i="1"/>
  <c r="H599" i="1"/>
  <c r="H617" i="1" s="1"/>
  <c r="G599" i="1"/>
  <c r="G617" i="1" s="1"/>
  <c r="G627" i="1" s="1"/>
  <c r="F599" i="1"/>
  <c r="E599" i="1"/>
  <c r="D599" i="1"/>
  <c r="D617" i="1" s="1"/>
  <c r="C599" i="1"/>
  <c r="B599" i="1"/>
  <c r="N596" i="1"/>
  <c r="N595" i="1"/>
  <c r="N594" i="1"/>
  <c r="N599" i="1" s="1"/>
  <c r="N586" i="1"/>
  <c r="N585" i="1"/>
  <c r="D579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N573" i="1"/>
  <c r="N572" i="1"/>
  <c r="N571" i="1"/>
  <c r="M568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N564" i="1"/>
  <c r="N563" i="1"/>
  <c r="N562" i="1"/>
  <c r="N561" i="1"/>
  <c r="N565" i="1" s="1"/>
  <c r="N560" i="1"/>
  <c r="N559" i="1"/>
  <c r="M556" i="1"/>
  <c r="I556" i="1"/>
  <c r="I568" i="1" s="1"/>
  <c r="E556" i="1"/>
  <c r="E568" i="1" s="1"/>
  <c r="N555" i="1"/>
  <c r="N556" i="1" s="1"/>
  <c r="M555" i="1"/>
  <c r="L555" i="1"/>
  <c r="L556" i="1" s="1"/>
  <c r="L568" i="1" s="1"/>
  <c r="L579" i="1" s="1"/>
  <c r="K555" i="1"/>
  <c r="K556" i="1" s="1"/>
  <c r="K568" i="1" s="1"/>
  <c r="J555" i="1"/>
  <c r="J556" i="1" s="1"/>
  <c r="J568" i="1" s="1"/>
  <c r="I555" i="1"/>
  <c r="H555" i="1"/>
  <c r="H556" i="1" s="1"/>
  <c r="H568" i="1" s="1"/>
  <c r="H579" i="1" s="1"/>
  <c r="G555" i="1"/>
  <c r="G556" i="1" s="1"/>
  <c r="G568" i="1" s="1"/>
  <c r="F555" i="1"/>
  <c r="F556" i="1" s="1"/>
  <c r="E555" i="1"/>
  <c r="D555" i="1"/>
  <c r="D556" i="1" s="1"/>
  <c r="D568" i="1" s="1"/>
  <c r="C555" i="1"/>
  <c r="C556" i="1" s="1"/>
  <c r="C568" i="1" s="1"/>
  <c r="B555" i="1"/>
  <c r="B556" i="1" s="1"/>
  <c r="B568" i="1" s="1"/>
  <c r="N554" i="1"/>
  <c r="N553" i="1"/>
  <c r="M547" i="1"/>
  <c r="N545" i="1"/>
  <c r="M545" i="1"/>
  <c r="L545" i="1"/>
  <c r="K545" i="1"/>
  <c r="K579" i="1" s="1"/>
  <c r="J545" i="1"/>
  <c r="I545" i="1"/>
  <c r="H545" i="1"/>
  <c r="G545" i="1"/>
  <c r="F545" i="1"/>
  <c r="E545" i="1"/>
  <c r="D545" i="1"/>
  <c r="C545" i="1"/>
  <c r="C579" i="1" s="1"/>
  <c r="B545" i="1"/>
  <c r="N541" i="1"/>
  <c r="N540" i="1"/>
  <c r="M537" i="1"/>
  <c r="I537" i="1"/>
  <c r="E537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N530" i="1"/>
  <c r="N529" i="1"/>
  <c r="N528" i="1"/>
  <c r="N525" i="1"/>
  <c r="N537" i="1" s="1"/>
  <c r="M525" i="1"/>
  <c r="L525" i="1"/>
  <c r="L537" i="1" s="1"/>
  <c r="K525" i="1"/>
  <c r="K537" i="1" s="1"/>
  <c r="J525" i="1"/>
  <c r="J537" i="1" s="1"/>
  <c r="I525" i="1"/>
  <c r="H525" i="1"/>
  <c r="H537" i="1" s="1"/>
  <c r="G525" i="1"/>
  <c r="G537" i="1" s="1"/>
  <c r="G547" i="1" s="1"/>
  <c r="F525" i="1"/>
  <c r="F537" i="1" s="1"/>
  <c r="E525" i="1"/>
  <c r="D525" i="1"/>
  <c r="D537" i="1" s="1"/>
  <c r="C525" i="1"/>
  <c r="C537" i="1" s="1"/>
  <c r="C547" i="1" s="1"/>
  <c r="B525" i="1"/>
  <c r="B537" i="1" s="1"/>
  <c r="N522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N508" i="1"/>
  <c r="N507" i="1"/>
  <c r="N506" i="1"/>
  <c r="N505" i="1"/>
  <c r="N504" i="1"/>
  <c r="N503" i="1"/>
  <c r="N502" i="1"/>
  <c r="N501" i="1"/>
  <c r="N511" i="1" s="1"/>
  <c r="C498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N494" i="1"/>
  <c r="N493" i="1"/>
  <c r="N492" i="1"/>
  <c r="N491" i="1"/>
  <c r="N490" i="1"/>
  <c r="N489" i="1"/>
  <c r="N495" i="1" s="1"/>
  <c r="K486" i="1"/>
  <c r="K498" i="1" s="1"/>
  <c r="H486" i="1"/>
  <c r="H498" i="1" s="1"/>
  <c r="M485" i="1"/>
  <c r="L485" i="1"/>
  <c r="K485" i="1"/>
  <c r="J485" i="1"/>
  <c r="I485" i="1"/>
  <c r="H485" i="1"/>
  <c r="G485" i="1"/>
  <c r="F485" i="1"/>
  <c r="E485" i="1"/>
  <c r="D485" i="1"/>
  <c r="D486" i="1" s="1"/>
  <c r="D498" i="1" s="1"/>
  <c r="C485" i="1"/>
  <c r="B485" i="1"/>
  <c r="N484" i="1"/>
  <c r="N485" i="1" s="1"/>
  <c r="M481" i="1"/>
  <c r="M486" i="1" s="1"/>
  <c r="M498" i="1" s="1"/>
  <c r="L481" i="1"/>
  <c r="K481" i="1"/>
  <c r="J481" i="1"/>
  <c r="J486" i="1" s="1"/>
  <c r="J498" i="1" s="1"/>
  <c r="I481" i="1"/>
  <c r="I486" i="1" s="1"/>
  <c r="I498" i="1" s="1"/>
  <c r="H481" i="1"/>
  <c r="G481" i="1"/>
  <c r="G486" i="1" s="1"/>
  <c r="G498" i="1" s="1"/>
  <c r="F481" i="1"/>
  <c r="E481" i="1"/>
  <c r="E486" i="1" s="1"/>
  <c r="E498" i="1" s="1"/>
  <c r="D481" i="1"/>
  <c r="C481" i="1"/>
  <c r="C486" i="1" s="1"/>
  <c r="B481" i="1"/>
  <c r="B486" i="1" s="1"/>
  <c r="B498" i="1" s="1"/>
  <c r="N480" i="1"/>
  <c r="N481" i="1" s="1"/>
  <c r="N486" i="1" s="1"/>
  <c r="N498" i="1" s="1"/>
  <c r="M474" i="1"/>
  <c r="E474" i="1"/>
  <c r="M472" i="1"/>
  <c r="M514" i="1" s="1"/>
  <c r="L472" i="1"/>
  <c r="K472" i="1"/>
  <c r="J472" i="1"/>
  <c r="I472" i="1"/>
  <c r="I514" i="1" s="1"/>
  <c r="H472" i="1"/>
  <c r="G472" i="1"/>
  <c r="F472" i="1"/>
  <c r="E472" i="1"/>
  <c r="E514" i="1" s="1"/>
  <c r="D472" i="1"/>
  <c r="C472" i="1"/>
  <c r="B472" i="1"/>
  <c r="N468" i="1"/>
  <c r="N472" i="1" s="1"/>
  <c r="K465" i="1"/>
  <c r="H465" i="1"/>
  <c r="C465" i="1"/>
  <c r="M461" i="1"/>
  <c r="M465" i="1" s="1"/>
  <c r="M516" i="1" s="1"/>
  <c r="L461" i="1"/>
  <c r="L465" i="1" s="1"/>
  <c r="K461" i="1"/>
  <c r="J461" i="1"/>
  <c r="J465" i="1" s="1"/>
  <c r="I461" i="1"/>
  <c r="I465" i="1" s="1"/>
  <c r="H461" i="1"/>
  <c r="G461" i="1"/>
  <c r="G465" i="1" s="1"/>
  <c r="F461" i="1"/>
  <c r="F465" i="1" s="1"/>
  <c r="E461" i="1"/>
  <c r="E465" i="1" s="1"/>
  <c r="D461" i="1"/>
  <c r="D465" i="1" s="1"/>
  <c r="D474" i="1" s="1"/>
  <c r="C461" i="1"/>
  <c r="B461" i="1"/>
  <c r="B465" i="1" s="1"/>
  <c r="N458" i="1"/>
  <c r="N457" i="1"/>
  <c r="N461" i="1" s="1"/>
  <c r="N465" i="1" s="1"/>
  <c r="N449" i="1"/>
  <c r="N448" i="1"/>
  <c r="N447" i="1"/>
  <c r="N446" i="1"/>
  <c r="N440" i="1"/>
  <c r="N439" i="1"/>
  <c r="N438" i="1"/>
  <c r="N437" i="1"/>
  <c r="N436" i="1"/>
  <c r="N435" i="1"/>
  <c r="N434" i="1"/>
  <c r="N433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N421" i="1"/>
  <c r="N420" i="1"/>
  <c r="N419" i="1"/>
  <c r="N418" i="1"/>
  <c r="N417" i="1"/>
  <c r="N416" i="1"/>
  <c r="N415" i="1"/>
  <c r="N414" i="1"/>
  <c r="N413" i="1"/>
  <c r="N412" i="1"/>
  <c r="N411" i="1"/>
  <c r="N424" i="1" s="1"/>
  <c r="M405" i="1"/>
  <c r="L405" i="1"/>
  <c r="K405" i="1"/>
  <c r="J405" i="1"/>
  <c r="I405" i="1"/>
  <c r="H405" i="1"/>
  <c r="G405" i="1"/>
  <c r="F405" i="1"/>
  <c r="E405" i="1"/>
  <c r="D405" i="1"/>
  <c r="C405" i="1"/>
  <c r="B405" i="1"/>
  <c r="N404" i="1"/>
  <c r="N403" i="1"/>
  <c r="N402" i="1"/>
  <c r="N401" i="1"/>
  <c r="N400" i="1"/>
  <c r="N399" i="1"/>
  <c r="N398" i="1"/>
  <c r="N405" i="1" s="1"/>
  <c r="N395" i="1"/>
  <c r="N408" i="1" s="1"/>
  <c r="F395" i="1"/>
  <c r="F408" i="1" s="1"/>
  <c r="M394" i="1"/>
  <c r="L394" i="1"/>
  <c r="K394" i="1"/>
  <c r="K395" i="1" s="1"/>
  <c r="K408" i="1" s="1"/>
  <c r="J394" i="1"/>
  <c r="I394" i="1"/>
  <c r="H394" i="1"/>
  <c r="G394" i="1"/>
  <c r="F394" i="1"/>
  <c r="E394" i="1"/>
  <c r="D394" i="1"/>
  <c r="C394" i="1"/>
  <c r="C395" i="1" s="1"/>
  <c r="C408" i="1" s="1"/>
  <c r="B394" i="1"/>
  <c r="N393" i="1"/>
  <c r="N392" i="1"/>
  <c r="N391" i="1"/>
  <c r="N390" i="1"/>
  <c r="N389" i="1"/>
  <c r="N394" i="1" s="1"/>
  <c r="M386" i="1"/>
  <c r="M395" i="1" s="1"/>
  <c r="M408" i="1" s="1"/>
  <c r="M427" i="1" s="1"/>
  <c r="L386" i="1"/>
  <c r="L395" i="1" s="1"/>
  <c r="L408" i="1" s="1"/>
  <c r="K386" i="1"/>
  <c r="J386" i="1"/>
  <c r="J395" i="1" s="1"/>
  <c r="J408" i="1" s="1"/>
  <c r="I386" i="1"/>
  <c r="I395" i="1" s="1"/>
  <c r="I408" i="1" s="1"/>
  <c r="H386" i="1"/>
  <c r="G386" i="1"/>
  <c r="G395" i="1" s="1"/>
  <c r="G408" i="1" s="1"/>
  <c r="F386" i="1"/>
  <c r="E386" i="1"/>
  <c r="E395" i="1" s="1"/>
  <c r="E408" i="1" s="1"/>
  <c r="E427" i="1" s="1"/>
  <c r="D386" i="1"/>
  <c r="D395" i="1" s="1"/>
  <c r="D408" i="1" s="1"/>
  <c r="C386" i="1"/>
  <c r="B386" i="1"/>
  <c r="B395" i="1" s="1"/>
  <c r="B408" i="1" s="1"/>
  <c r="N385" i="1"/>
  <c r="N384" i="1"/>
  <c r="N383" i="1"/>
  <c r="N386" i="1" s="1"/>
  <c r="M377" i="1"/>
  <c r="E377" i="1"/>
  <c r="B377" i="1"/>
  <c r="M375" i="1"/>
  <c r="L375" i="1"/>
  <c r="K375" i="1"/>
  <c r="J375" i="1"/>
  <c r="I375" i="1"/>
  <c r="I427" i="1" s="1"/>
  <c r="H375" i="1"/>
  <c r="G375" i="1"/>
  <c r="G427" i="1" s="1"/>
  <c r="F375" i="1"/>
  <c r="F427" i="1" s="1"/>
  <c r="E375" i="1"/>
  <c r="D375" i="1"/>
  <c r="C375" i="1"/>
  <c r="B375" i="1"/>
  <c r="N371" i="1"/>
  <c r="N375" i="1" s="1"/>
  <c r="N370" i="1"/>
  <c r="N367" i="1"/>
  <c r="I367" i="1"/>
  <c r="F367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N360" i="1"/>
  <c r="N359" i="1"/>
  <c r="N358" i="1"/>
  <c r="N355" i="1"/>
  <c r="M355" i="1"/>
  <c r="M367" i="1" s="1"/>
  <c r="L355" i="1"/>
  <c r="L367" i="1" s="1"/>
  <c r="K355" i="1"/>
  <c r="K367" i="1" s="1"/>
  <c r="K377" i="1" s="1"/>
  <c r="J355" i="1"/>
  <c r="J367" i="1" s="1"/>
  <c r="I355" i="1"/>
  <c r="H355" i="1"/>
  <c r="H367" i="1" s="1"/>
  <c r="H377" i="1" s="1"/>
  <c r="G355" i="1"/>
  <c r="G367" i="1" s="1"/>
  <c r="F355" i="1"/>
  <c r="E355" i="1"/>
  <c r="E367" i="1" s="1"/>
  <c r="D355" i="1"/>
  <c r="D367" i="1" s="1"/>
  <c r="C355" i="1"/>
  <c r="C367" i="1" s="1"/>
  <c r="C377" i="1" s="1"/>
  <c r="B355" i="1"/>
  <c r="B367" i="1" s="1"/>
  <c r="N352" i="1"/>
  <c r="N351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J318" i="1"/>
  <c r="J343" i="1" s="1"/>
  <c r="B318" i="1"/>
  <c r="B343" i="1" s="1"/>
  <c r="M315" i="1"/>
  <c r="L315" i="1"/>
  <c r="K315" i="1"/>
  <c r="J315" i="1"/>
  <c r="I315" i="1"/>
  <c r="H315" i="1"/>
  <c r="G315" i="1"/>
  <c r="F315" i="1"/>
  <c r="E315" i="1"/>
  <c r="D315" i="1"/>
  <c r="C315" i="1"/>
  <c r="B315" i="1"/>
  <c r="N314" i="1"/>
  <c r="N313" i="1"/>
  <c r="N312" i="1"/>
  <c r="N311" i="1"/>
  <c r="N310" i="1"/>
  <c r="N309" i="1"/>
  <c r="N308" i="1"/>
  <c r="K305" i="1"/>
  <c r="K318" i="1" s="1"/>
  <c r="F305" i="1"/>
  <c r="F318" i="1" s="1"/>
  <c r="C305" i="1"/>
  <c r="C318" i="1" s="1"/>
  <c r="M304" i="1"/>
  <c r="L304" i="1"/>
  <c r="K304" i="1"/>
  <c r="J304" i="1"/>
  <c r="I304" i="1"/>
  <c r="H304" i="1"/>
  <c r="G304" i="1"/>
  <c r="F304" i="1"/>
  <c r="E304" i="1"/>
  <c r="D304" i="1"/>
  <c r="C304" i="1"/>
  <c r="B304" i="1"/>
  <c r="N303" i="1"/>
  <c r="N302" i="1"/>
  <c r="N301" i="1"/>
  <c r="N300" i="1"/>
  <c r="N304" i="1" s="1"/>
  <c r="M297" i="1"/>
  <c r="M305" i="1" s="1"/>
  <c r="M318" i="1" s="1"/>
  <c r="L297" i="1"/>
  <c r="L305" i="1" s="1"/>
  <c r="L318" i="1" s="1"/>
  <c r="K297" i="1"/>
  <c r="J297" i="1"/>
  <c r="J305" i="1" s="1"/>
  <c r="I297" i="1"/>
  <c r="I305" i="1" s="1"/>
  <c r="I318" i="1" s="1"/>
  <c r="H297" i="1"/>
  <c r="H305" i="1" s="1"/>
  <c r="H318" i="1" s="1"/>
  <c r="G297" i="1"/>
  <c r="G305" i="1" s="1"/>
  <c r="F297" i="1"/>
  <c r="E297" i="1"/>
  <c r="E305" i="1" s="1"/>
  <c r="E318" i="1" s="1"/>
  <c r="D297" i="1"/>
  <c r="D305" i="1" s="1"/>
  <c r="D318" i="1" s="1"/>
  <c r="C297" i="1"/>
  <c r="B297" i="1"/>
  <c r="B305" i="1" s="1"/>
  <c r="N296" i="1"/>
  <c r="N297" i="1" s="1"/>
  <c r="N305" i="1" s="1"/>
  <c r="B290" i="1"/>
  <c r="M288" i="1"/>
  <c r="L288" i="1"/>
  <c r="K288" i="1"/>
  <c r="J288" i="1"/>
  <c r="I288" i="1"/>
  <c r="I343" i="1" s="1"/>
  <c r="H288" i="1"/>
  <c r="H343" i="1" s="1"/>
  <c r="G288" i="1"/>
  <c r="F288" i="1"/>
  <c r="F343" i="1" s="1"/>
  <c r="E288" i="1"/>
  <c r="D288" i="1"/>
  <c r="D343" i="1" s="1"/>
  <c r="C288" i="1"/>
  <c r="B288" i="1"/>
  <c r="N284" i="1"/>
  <c r="N283" i="1"/>
  <c r="N282" i="1"/>
  <c r="N281" i="1"/>
  <c r="N288" i="1" s="1"/>
  <c r="M278" i="1"/>
  <c r="M290" i="1" s="1"/>
  <c r="H278" i="1"/>
  <c r="E278" i="1"/>
  <c r="E290" i="1" s="1"/>
  <c r="M274" i="1"/>
  <c r="L274" i="1"/>
  <c r="K274" i="1"/>
  <c r="J274" i="1"/>
  <c r="I274" i="1"/>
  <c r="H274" i="1"/>
  <c r="G274" i="1"/>
  <c r="F274" i="1"/>
  <c r="E274" i="1"/>
  <c r="D274" i="1"/>
  <c r="C274" i="1"/>
  <c r="B274" i="1"/>
  <c r="N271" i="1"/>
  <c r="N270" i="1"/>
  <c r="N269" i="1"/>
  <c r="N268" i="1"/>
  <c r="N274" i="1" s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N262" i="1"/>
  <c r="N261" i="1"/>
  <c r="N260" i="1"/>
  <c r="M257" i="1"/>
  <c r="L257" i="1"/>
  <c r="L278" i="1" s="1"/>
  <c r="K257" i="1"/>
  <c r="K278" i="1" s="1"/>
  <c r="J257" i="1"/>
  <c r="J278" i="1" s="1"/>
  <c r="J345" i="1" s="1"/>
  <c r="I257" i="1"/>
  <c r="I278" i="1" s="1"/>
  <c r="H257" i="1"/>
  <c r="G257" i="1"/>
  <c r="G278" i="1" s="1"/>
  <c r="F257" i="1"/>
  <c r="F278" i="1" s="1"/>
  <c r="E257" i="1"/>
  <c r="D257" i="1"/>
  <c r="D278" i="1" s="1"/>
  <c r="C257" i="1"/>
  <c r="C278" i="1" s="1"/>
  <c r="B257" i="1"/>
  <c r="B278" i="1" s="1"/>
  <c r="N254" i="1"/>
  <c r="N253" i="1"/>
  <c r="N252" i="1"/>
  <c r="N251" i="1"/>
  <c r="N257" i="1" s="1"/>
  <c r="N278" i="1" s="1"/>
  <c r="N250" i="1"/>
  <c r="N218" i="1"/>
  <c r="N217" i="1"/>
  <c r="N216" i="1"/>
  <c r="N215" i="1"/>
  <c r="N214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210" i="1" s="1"/>
  <c r="N10" i="1" s="1"/>
  <c r="K190" i="1"/>
  <c r="C190" i="1"/>
  <c r="C26" i="1" s="1"/>
  <c r="M187" i="1"/>
  <c r="L187" i="1"/>
  <c r="K187" i="1"/>
  <c r="J187" i="1"/>
  <c r="I187" i="1"/>
  <c r="H187" i="1"/>
  <c r="G187" i="1"/>
  <c r="F187" i="1"/>
  <c r="E187" i="1"/>
  <c r="D187" i="1"/>
  <c r="C187" i="1"/>
  <c r="B187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E158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N154" i="1"/>
  <c r="N153" i="1"/>
  <c r="N152" i="1"/>
  <c r="N151" i="1"/>
  <c r="N150" i="1"/>
  <c r="N149" i="1"/>
  <c r="N148" i="1"/>
  <c r="K145" i="1"/>
  <c r="K158" i="1" s="1"/>
  <c r="F145" i="1"/>
  <c r="F158" i="1" s="1"/>
  <c r="F190" i="1" s="1"/>
  <c r="C145" i="1"/>
  <c r="C158" i="1" s="1"/>
  <c r="M144" i="1"/>
  <c r="L144" i="1"/>
  <c r="K144" i="1"/>
  <c r="J144" i="1"/>
  <c r="I144" i="1"/>
  <c r="H144" i="1"/>
  <c r="G144" i="1"/>
  <c r="F144" i="1"/>
  <c r="E144" i="1"/>
  <c r="D144" i="1"/>
  <c r="C144" i="1"/>
  <c r="B144" i="1"/>
  <c r="N143" i="1"/>
  <c r="N142" i="1"/>
  <c r="N141" i="1"/>
  <c r="N140" i="1"/>
  <c r="N139" i="1"/>
  <c r="N138" i="1"/>
  <c r="N137" i="1"/>
  <c r="N136" i="1"/>
  <c r="N135" i="1"/>
  <c r="M132" i="1"/>
  <c r="M145" i="1" s="1"/>
  <c r="M158" i="1" s="1"/>
  <c r="M190" i="1" s="1"/>
  <c r="L132" i="1"/>
  <c r="L145" i="1" s="1"/>
  <c r="L158" i="1" s="1"/>
  <c r="L190" i="1" s="1"/>
  <c r="K132" i="1"/>
  <c r="J132" i="1"/>
  <c r="J145" i="1" s="1"/>
  <c r="J158" i="1" s="1"/>
  <c r="J190" i="1" s="1"/>
  <c r="I132" i="1"/>
  <c r="I145" i="1" s="1"/>
  <c r="I158" i="1" s="1"/>
  <c r="I190" i="1" s="1"/>
  <c r="H132" i="1"/>
  <c r="G132" i="1"/>
  <c r="G145" i="1" s="1"/>
  <c r="F132" i="1"/>
  <c r="E132" i="1"/>
  <c r="E145" i="1" s="1"/>
  <c r="D132" i="1"/>
  <c r="D145" i="1" s="1"/>
  <c r="D158" i="1" s="1"/>
  <c r="D190" i="1" s="1"/>
  <c r="C132" i="1"/>
  <c r="B132" i="1"/>
  <c r="B145" i="1" s="1"/>
  <c r="B158" i="1" s="1"/>
  <c r="B190" i="1" s="1"/>
  <c r="N131" i="1"/>
  <c r="N130" i="1"/>
  <c r="N129" i="1"/>
  <c r="N128" i="1"/>
  <c r="N132" i="1" s="1"/>
  <c r="N127" i="1"/>
  <c r="K122" i="1"/>
  <c r="C122" i="1"/>
  <c r="C192" i="1" s="1"/>
  <c r="M118" i="1"/>
  <c r="L118" i="1"/>
  <c r="K118" i="1"/>
  <c r="J118" i="1"/>
  <c r="I118" i="1"/>
  <c r="H118" i="1"/>
  <c r="G118" i="1"/>
  <c r="F118" i="1"/>
  <c r="E118" i="1"/>
  <c r="D118" i="1"/>
  <c r="C118" i="1"/>
  <c r="B118" i="1"/>
  <c r="N115" i="1"/>
  <c r="N114" i="1"/>
  <c r="N113" i="1"/>
  <c r="N112" i="1"/>
  <c r="N111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N105" i="1"/>
  <c r="N104" i="1"/>
  <c r="N103" i="1"/>
  <c r="N102" i="1"/>
  <c r="M99" i="1"/>
  <c r="L99" i="1"/>
  <c r="L122" i="1" s="1"/>
  <c r="K99" i="1"/>
  <c r="J99" i="1"/>
  <c r="J122" i="1" s="1"/>
  <c r="I99" i="1"/>
  <c r="I122" i="1" s="1"/>
  <c r="H99" i="1"/>
  <c r="H122" i="1" s="1"/>
  <c r="G99" i="1"/>
  <c r="G122" i="1" s="1"/>
  <c r="G17" i="1" s="1"/>
  <c r="F99" i="1"/>
  <c r="F122" i="1" s="1"/>
  <c r="F192" i="1" s="1"/>
  <c r="E99" i="1"/>
  <c r="D99" i="1"/>
  <c r="D122" i="1" s="1"/>
  <c r="C99" i="1"/>
  <c r="B99" i="1"/>
  <c r="B122" i="1" s="1"/>
  <c r="N96" i="1"/>
  <c r="N95" i="1"/>
  <c r="N94" i="1"/>
  <c r="N93" i="1"/>
  <c r="N92" i="1"/>
  <c r="N91" i="1"/>
  <c r="N90" i="1"/>
  <c r="N82" i="1"/>
  <c r="M82" i="1"/>
  <c r="L82" i="1"/>
  <c r="K82" i="1"/>
  <c r="J82" i="1"/>
  <c r="I82" i="1"/>
  <c r="H82" i="1"/>
  <c r="G82" i="1"/>
  <c r="E82" i="1"/>
  <c r="D82" i="1"/>
  <c r="C82" i="1"/>
  <c r="B82" i="1"/>
  <c r="N78" i="1"/>
  <c r="M78" i="1"/>
  <c r="L78" i="1"/>
  <c r="K78" i="1"/>
  <c r="I78" i="1"/>
  <c r="G78" i="1"/>
  <c r="F78" i="1"/>
  <c r="E78" i="1"/>
  <c r="D78" i="1"/>
  <c r="C78" i="1"/>
  <c r="M72" i="1"/>
  <c r="L72" i="1"/>
  <c r="K72" i="1"/>
  <c r="J72" i="1"/>
  <c r="I72" i="1"/>
  <c r="G72" i="1"/>
  <c r="F72" i="1"/>
  <c r="E72" i="1"/>
  <c r="D72" i="1"/>
  <c r="C72" i="1"/>
  <c r="B72" i="1"/>
  <c r="J70" i="1"/>
  <c r="B70" i="1"/>
  <c r="M67" i="1"/>
  <c r="L67" i="1"/>
  <c r="K67" i="1"/>
  <c r="J67" i="1"/>
  <c r="H67" i="1"/>
  <c r="F67" i="1"/>
  <c r="E67" i="1"/>
  <c r="D67" i="1"/>
  <c r="C67" i="1"/>
  <c r="B67" i="1"/>
  <c r="M66" i="1"/>
  <c r="L66" i="1"/>
  <c r="K66" i="1"/>
  <c r="J66" i="1"/>
  <c r="I66" i="1"/>
  <c r="G66" i="1"/>
  <c r="E66" i="1"/>
  <c r="D66" i="1"/>
  <c r="C66" i="1"/>
  <c r="B66" i="1"/>
  <c r="N65" i="1"/>
  <c r="M65" i="1"/>
  <c r="M70" i="1" s="1"/>
  <c r="L65" i="1"/>
  <c r="J65" i="1"/>
  <c r="I65" i="1"/>
  <c r="H65" i="1"/>
  <c r="H70" i="1" s="1"/>
  <c r="G65" i="1"/>
  <c r="F65" i="1"/>
  <c r="F70" i="1" s="1"/>
  <c r="E65" i="1"/>
  <c r="E70" i="1" s="1"/>
  <c r="D65" i="1"/>
  <c r="B65" i="1"/>
  <c r="K60" i="1"/>
  <c r="C60" i="1"/>
  <c r="N58" i="1"/>
  <c r="M58" i="1"/>
  <c r="L58" i="1"/>
  <c r="K58" i="1"/>
  <c r="I58" i="1"/>
  <c r="H58" i="1"/>
  <c r="H60" i="1" s="1"/>
  <c r="F58" i="1"/>
  <c r="E58" i="1"/>
  <c r="D58" i="1"/>
  <c r="C58" i="1"/>
  <c r="N57" i="1"/>
  <c r="N60" i="1" s="1"/>
  <c r="M57" i="1"/>
  <c r="M60" i="1" s="1"/>
  <c r="L57" i="1"/>
  <c r="L60" i="1" s="1"/>
  <c r="K57" i="1"/>
  <c r="I57" i="1"/>
  <c r="I60" i="1" s="1"/>
  <c r="H57" i="1"/>
  <c r="G57" i="1"/>
  <c r="F57" i="1"/>
  <c r="F60" i="1" s="1"/>
  <c r="E57" i="1"/>
  <c r="E60" i="1" s="1"/>
  <c r="D57" i="1"/>
  <c r="D60" i="1" s="1"/>
  <c r="C57" i="1"/>
  <c r="M47" i="1"/>
  <c r="L47" i="1"/>
  <c r="K47" i="1"/>
  <c r="J47" i="1"/>
  <c r="I47" i="1"/>
  <c r="H47" i="1"/>
  <c r="G47" i="1"/>
  <c r="F47" i="1"/>
  <c r="E47" i="1"/>
  <c r="D47" i="1"/>
  <c r="B47" i="1"/>
  <c r="K46" i="1"/>
  <c r="J46" i="1"/>
  <c r="I46" i="1"/>
  <c r="H46" i="1"/>
  <c r="G46" i="1"/>
  <c r="F46" i="1"/>
  <c r="D46" i="1"/>
  <c r="C46" i="1"/>
  <c r="B46" i="1"/>
  <c r="L45" i="1"/>
  <c r="K45" i="1"/>
  <c r="J45" i="1"/>
  <c r="I45" i="1"/>
  <c r="H45" i="1"/>
  <c r="G45" i="1"/>
  <c r="F45" i="1"/>
  <c r="D45" i="1"/>
  <c r="C45" i="1"/>
  <c r="B45" i="1"/>
  <c r="G44" i="1"/>
  <c r="F44" i="1"/>
  <c r="E44" i="1"/>
  <c r="D44" i="1"/>
  <c r="C44" i="1"/>
  <c r="N43" i="1"/>
  <c r="K43" i="1"/>
  <c r="I43" i="1"/>
  <c r="C43" i="1"/>
  <c r="B43" i="1"/>
  <c r="M42" i="1"/>
  <c r="K42" i="1"/>
  <c r="J42" i="1"/>
  <c r="G42" i="1"/>
  <c r="E42" i="1"/>
  <c r="D42" i="1"/>
  <c r="N36" i="1"/>
  <c r="M35" i="1"/>
  <c r="L35" i="1"/>
  <c r="F35" i="1"/>
  <c r="E35" i="1"/>
  <c r="D35" i="1"/>
  <c r="M28" i="1"/>
  <c r="L28" i="1"/>
  <c r="I28" i="1"/>
  <c r="G28" i="1"/>
  <c r="F28" i="1"/>
  <c r="E28" i="1"/>
  <c r="D28" i="1"/>
  <c r="B28" i="1"/>
  <c r="K26" i="1"/>
  <c r="I26" i="1"/>
  <c r="M20" i="1"/>
  <c r="L20" i="1"/>
  <c r="K20" i="1"/>
  <c r="J20" i="1"/>
  <c r="H20" i="1"/>
  <c r="G20" i="1"/>
  <c r="F20" i="1"/>
  <c r="E20" i="1"/>
  <c r="D20" i="1"/>
  <c r="C20" i="1"/>
  <c r="B20" i="1"/>
  <c r="M19" i="1"/>
  <c r="L19" i="1"/>
  <c r="K19" i="1"/>
  <c r="J19" i="1"/>
  <c r="I19" i="1"/>
  <c r="I35" i="1" s="1"/>
  <c r="H19" i="1"/>
  <c r="H35" i="1" s="1"/>
  <c r="G19" i="1"/>
  <c r="G35" i="1" s="1"/>
  <c r="F19" i="1"/>
  <c r="E19" i="1"/>
  <c r="D19" i="1"/>
  <c r="C19" i="1"/>
  <c r="B19" i="1"/>
  <c r="B35" i="1" s="1"/>
  <c r="L18" i="1"/>
  <c r="D18" i="1"/>
  <c r="L17" i="1"/>
  <c r="K17" i="1"/>
  <c r="K33" i="1" s="1"/>
  <c r="J17" i="1"/>
  <c r="F17" i="1"/>
  <c r="D17" i="1"/>
  <c r="B17" i="1"/>
  <c r="H12" i="1"/>
  <c r="G12" i="1"/>
  <c r="M11" i="1"/>
  <c r="L11" i="1"/>
  <c r="K11" i="1"/>
  <c r="J11" i="1"/>
  <c r="I11" i="1"/>
  <c r="H11" i="1"/>
  <c r="G11" i="1"/>
  <c r="F11" i="1"/>
  <c r="E11" i="1"/>
  <c r="D11" i="1"/>
  <c r="C11" i="1"/>
  <c r="B11" i="1"/>
  <c r="M10" i="1"/>
  <c r="M12" i="1" s="1"/>
  <c r="L10" i="1"/>
  <c r="L12" i="1" s="1"/>
  <c r="K10" i="1"/>
  <c r="K12" i="1" s="1"/>
  <c r="J10" i="1"/>
  <c r="J12" i="1" s="1"/>
  <c r="I10" i="1"/>
  <c r="I12" i="1" s="1"/>
  <c r="H10" i="1"/>
  <c r="G10" i="1"/>
  <c r="F10" i="1"/>
  <c r="F12" i="1" s="1"/>
  <c r="E10" i="1"/>
  <c r="E12" i="1" s="1"/>
  <c r="D10" i="1"/>
  <c r="D12" i="1" s="1"/>
  <c r="C10" i="1"/>
  <c r="C12" i="1" s="1"/>
  <c r="B10" i="1"/>
  <c r="B12" i="1" s="1"/>
  <c r="B26" i="1" l="1"/>
  <c r="J26" i="1"/>
  <c r="B345" i="1"/>
  <c r="G343" i="1"/>
  <c r="H742" i="1"/>
  <c r="H17" i="1"/>
  <c r="N145" i="1"/>
  <c r="N158" i="1" s="1"/>
  <c r="N190" i="1" s="1"/>
  <c r="N290" i="1"/>
  <c r="M26" i="1"/>
  <c r="C50" i="1"/>
  <c r="B33" i="1"/>
  <c r="N35" i="1"/>
  <c r="J35" i="1"/>
  <c r="I18" i="1"/>
  <c r="G429" i="1"/>
  <c r="G377" i="1"/>
  <c r="F429" i="1"/>
  <c r="F377" i="1"/>
  <c r="G474" i="1"/>
  <c r="N11" i="1"/>
  <c r="N12" i="1" s="1"/>
  <c r="I516" i="1"/>
  <c r="I474" i="1"/>
  <c r="K547" i="1"/>
  <c r="K581" i="1"/>
  <c r="N718" i="1"/>
  <c r="C17" i="1"/>
  <c r="M343" i="1"/>
  <c r="M981" i="1" s="1"/>
  <c r="I377" i="1"/>
  <c r="I429" i="1"/>
  <c r="I192" i="1"/>
  <c r="N514" i="1"/>
  <c r="N516" i="1" s="1"/>
  <c r="C290" i="1"/>
  <c r="C345" i="1"/>
  <c r="G290" i="1"/>
  <c r="J514" i="1"/>
  <c r="J23" i="1"/>
  <c r="L70" i="1"/>
  <c r="N99" i="1"/>
  <c r="D290" i="1"/>
  <c r="D345" i="1"/>
  <c r="L290" i="1"/>
  <c r="J290" i="1"/>
  <c r="N427" i="1"/>
  <c r="B627" i="1"/>
  <c r="G650" i="1"/>
  <c r="E343" i="1"/>
  <c r="N474" i="1"/>
  <c r="G18" i="1"/>
  <c r="N429" i="1"/>
  <c r="N377" i="1"/>
  <c r="D26" i="1"/>
  <c r="G60" i="1"/>
  <c r="J742" i="1"/>
  <c r="J192" i="1"/>
  <c r="G318" i="1"/>
  <c r="J429" i="1"/>
  <c r="J377" i="1"/>
  <c r="B514" i="1"/>
  <c r="B18" i="1"/>
  <c r="B23" i="1" s="1"/>
  <c r="J18" i="1"/>
  <c r="F26" i="1"/>
  <c r="D70" i="1"/>
  <c r="D742" i="1"/>
  <c r="D192" i="1"/>
  <c r="L742" i="1"/>
  <c r="L192" i="1"/>
  <c r="G158" i="1"/>
  <c r="G190" i="1" s="1"/>
  <c r="N144" i="1"/>
  <c r="N187" i="1"/>
  <c r="N340" i="1"/>
  <c r="D377" i="1"/>
  <c r="L377" i="1"/>
  <c r="B427" i="1"/>
  <c r="J427" i="1"/>
  <c r="J27" i="1" s="1"/>
  <c r="L474" i="1"/>
  <c r="F547" i="1"/>
  <c r="N547" i="1"/>
  <c r="G742" i="1"/>
  <c r="G192" i="1"/>
  <c r="H345" i="1"/>
  <c r="H290" i="1"/>
  <c r="L343" i="1"/>
  <c r="F18" i="1"/>
  <c r="K516" i="1"/>
  <c r="K474" i="1"/>
  <c r="E190" i="1"/>
  <c r="H18" i="1"/>
  <c r="L26" i="1"/>
  <c r="B742" i="1"/>
  <c r="B192" i="1"/>
  <c r="J516" i="1"/>
  <c r="J474" i="1"/>
  <c r="N680" i="1"/>
  <c r="N685" i="1"/>
  <c r="D23" i="1"/>
  <c r="L23" i="1"/>
  <c r="N70" i="1"/>
  <c r="E122" i="1"/>
  <c r="M122" i="1"/>
  <c r="H145" i="1"/>
  <c r="H158" i="1" s="1"/>
  <c r="H190" i="1" s="1"/>
  <c r="H192" i="1" s="1"/>
  <c r="N155" i="1"/>
  <c r="K192" i="1"/>
  <c r="F290" i="1"/>
  <c r="F345" i="1"/>
  <c r="N315" i="1"/>
  <c r="N318" i="1" s="1"/>
  <c r="N343" i="1" s="1"/>
  <c r="E345" i="1"/>
  <c r="E429" i="1"/>
  <c r="M429" i="1"/>
  <c r="C427" i="1"/>
  <c r="C429" i="1" s="1"/>
  <c r="K427" i="1"/>
  <c r="K981" i="1" s="1"/>
  <c r="H395" i="1"/>
  <c r="H408" i="1" s="1"/>
  <c r="H427" i="1" s="1"/>
  <c r="E516" i="1"/>
  <c r="C581" i="1"/>
  <c r="H474" i="1"/>
  <c r="C981" i="1"/>
  <c r="I345" i="1"/>
  <c r="I290" i="1"/>
  <c r="I70" i="1"/>
  <c r="I579" i="1"/>
  <c r="I27" i="1" s="1"/>
  <c r="I31" i="1" s="1"/>
  <c r="K50" i="1"/>
  <c r="K290" i="1"/>
  <c r="K345" i="1"/>
  <c r="B429" i="1"/>
  <c r="B516" i="1"/>
  <c r="B474" i="1"/>
  <c r="I17" i="1"/>
  <c r="G50" i="1"/>
  <c r="F742" i="1"/>
  <c r="N108" i="1"/>
  <c r="N118" i="1"/>
  <c r="G345" i="1"/>
  <c r="C343" i="1"/>
  <c r="K343" i="1"/>
  <c r="D427" i="1"/>
  <c r="D429" i="1" s="1"/>
  <c r="L427" i="1"/>
  <c r="L429" i="1" s="1"/>
  <c r="F474" i="1"/>
  <c r="C516" i="1"/>
  <c r="C474" i="1"/>
  <c r="C514" i="1"/>
  <c r="K514" i="1"/>
  <c r="D547" i="1"/>
  <c r="D581" i="1"/>
  <c r="L547" i="1"/>
  <c r="L581" i="1"/>
  <c r="B579" i="1"/>
  <c r="B581" i="1" s="1"/>
  <c r="J579" i="1"/>
  <c r="N576" i="1"/>
  <c r="H627" i="1"/>
  <c r="H650" i="1"/>
  <c r="N645" i="1"/>
  <c r="N648" i="1" s="1"/>
  <c r="I760" i="1"/>
  <c r="I773" i="1" s="1"/>
  <c r="I800" i="1" s="1"/>
  <c r="I802" i="1" s="1"/>
  <c r="I42" i="1" s="1"/>
  <c r="I50" i="1" s="1"/>
  <c r="H863" i="1"/>
  <c r="H880" i="1" s="1"/>
  <c r="H882" i="1" s="1"/>
  <c r="H44" i="1" s="1"/>
  <c r="D514" i="1"/>
  <c r="D516" i="1" s="1"/>
  <c r="I617" i="1"/>
  <c r="H685" i="1"/>
  <c r="N715" i="1"/>
  <c r="E718" i="1"/>
  <c r="M718" i="1"/>
  <c r="N975" i="1"/>
  <c r="N977" i="1" s="1"/>
  <c r="N47" i="1" s="1"/>
  <c r="E579" i="1"/>
  <c r="E581" i="1" s="1"/>
  <c r="M579" i="1"/>
  <c r="G581" i="1"/>
  <c r="C617" i="1"/>
  <c r="C18" i="1" s="1"/>
  <c r="K617" i="1"/>
  <c r="K742" i="1" s="1"/>
  <c r="K985" i="1" s="1"/>
  <c r="K1084" i="1" s="1"/>
  <c r="E648" i="1"/>
  <c r="M648" i="1"/>
  <c r="B685" i="1"/>
  <c r="J685" i="1"/>
  <c r="N894" i="1"/>
  <c r="N896" i="1" s="1"/>
  <c r="N45" i="1" s="1"/>
  <c r="N956" i="1"/>
  <c r="G514" i="1"/>
  <c r="G516" i="1" s="1"/>
  <c r="L486" i="1"/>
  <c r="L498" i="1" s="1"/>
  <c r="L514" i="1" s="1"/>
  <c r="L516" i="1" s="1"/>
  <c r="H547" i="1"/>
  <c r="H581" i="1"/>
  <c r="I581" i="1"/>
  <c r="D650" i="1"/>
  <c r="D627" i="1"/>
  <c r="L650" i="1"/>
  <c r="L627" i="1"/>
  <c r="C685" i="1"/>
  <c r="K685" i="1"/>
  <c r="N850" i="1"/>
  <c r="N863" i="1" s="1"/>
  <c r="N880" i="1" s="1"/>
  <c r="N882" i="1" s="1"/>
  <c r="N44" i="1" s="1"/>
  <c r="M924" i="1"/>
  <c r="M960" i="1" s="1"/>
  <c r="M962" i="1" s="1"/>
  <c r="M46" i="1" s="1"/>
  <c r="M50" i="1" s="1"/>
  <c r="H514" i="1"/>
  <c r="H516" i="1" s="1"/>
  <c r="M581" i="1"/>
  <c r="G579" i="1"/>
  <c r="E547" i="1"/>
  <c r="E617" i="1"/>
  <c r="M617" i="1"/>
  <c r="G648" i="1"/>
  <c r="F627" i="1"/>
  <c r="F645" i="1"/>
  <c r="F648" i="1" s="1"/>
  <c r="F650" i="1" s="1"/>
  <c r="B645" i="1"/>
  <c r="B648" i="1" s="1"/>
  <c r="B650" i="1" s="1"/>
  <c r="D685" i="1"/>
  <c r="C680" i="1"/>
  <c r="N759" i="1"/>
  <c r="N760" i="1" s="1"/>
  <c r="N773" i="1" s="1"/>
  <c r="N800" i="1" s="1"/>
  <c r="N802" i="1" s="1"/>
  <c r="N42" i="1" s="1"/>
  <c r="H773" i="1"/>
  <c r="H800" i="1" s="1"/>
  <c r="H802" i="1" s="1"/>
  <c r="H42" i="1" s="1"/>
  <c r="N796" i="1"/>
  <c r="I850" i="1"/>
  <c r="I863" i="1" s="1"/>
  <c r="I880" i="1" s="1"/>
  <c r="I882" i="1" s="1"/>
  <c r="I44" i="1" s="1"/>
  <c r="N921" i="1"/>
  <c r="N924" i="1" s="1"/>
  <c r="N960" i="1" s="1"/>
  <c r="N962" i="1" s="1"/>
  <c r="N46" i="1" s="1"/>
  <c r="F486" i="1"/>
  <c r="F498" i="1" s="1"/>
  <c r="F514" i="1" s="1"/>
  <c r="B547" i="1"/>
  <c r="J581" i="1"/>
  <c r="J547" i="1"/>
  <c r="I547" i="1"/>
  <c r="F568" i="1"/>
  <c r="F579" i="1" s="1"/>
  <c r="F581" i="1" s="1"/>
  <c r="N568" i="1"/>
  <c r="N579" i="1" s="1"/>
  <c r="N581" i="1" s="1"/>
  <c r="N607" i="1"/>
  <c r="N617" i="1" s="1"/>
  <c r="J627" i="1"/>
  <c r="G680" i="1"/>
  <c r="N706" i="1"/>
  <c r="N28" i="1" s="1"/>
  <c r="B718" i="1"/>
  <c r="J718" i="1"/>
  <c r="N737" i="1"/>
  <c r="N20" i="1" s="1"/>
  <c r="L773" i="1"/>
  <c r="L800" i="1" s="1"/>
  <c r="L802" i="1" s="1"/>
  <c r="L42" i="1" s="1"/>
  <c r="L50" i="1" s="1"/>
  <c r="D823" i="1"/>
  <c r="D834" i="1" s="1"/>
  <c r="D43" i="1" s="1"/>
  <c r="D50" i="1" s="1"/>
  <c r="L823" i="1"/>
  <c r="L834" i="1" s="1"/>
  <c r="L43" i="1" s="1"/>
  <c r="B880" i="1"/>
  <c r="B882" i="1" s="1"/>
  <c r="B44" i="1" s="1"/>
  <c r="B50" i="1" s="1"/>
  <c r="J880" i="1"/>
  <c r="J882" i="1" s="1"/>
  <c r="J44" i="1" s="1"/>
  <c r="J50" i="1" s="1"/>
  <c r="H680" i="1"/>
  <c r="F685" i="1"/>
  <c r="N696" i="1"/>
  <c r="N19" i="1" s="1"/>
  <c r="B680" i="1"/>
  <c r="J680" i="1"/>
  <c r="D680" i="1"/>
  <c r="L680" i="1"/>
  <c r="N650" i="1" l="1"/>
  <c r="N627" i="1"/>
  <c r="N18" i="1"/>
  <c r="L981" i="1"/>
  <c r="L985" i="1" s="1"/>
  <c r="L1084" i="1" s="1"/>
  <c r="N50" i="1"/>
  <c r="F27" i="1"/>
  <c r="F31" i="1" s="1"/>
  <c r="F516" i="1"/>
  <c r="F981" i="1"/>
  <c r="N27" i="1"/>
  <c r="N345" i="1"/>
  <c r="B981" i="1"/>
  <c r="B985" i="1" s="1"/>
  <c r="B1084" i="1" s="1"/>
  <c r="F23" i="1"/>
  <c r="F34" i="1"/>
  <c r="C33" i="1"/>
  <c r="C23" i="1"/>
  <c r="H27" i="1"/>
  <c r="H34" i="1" s="1"/>
  <c r="N122" i="1"/>
  <c r="H23" i="1"/>
  <c r="H33" i="1"/>
  <c r="G27" i="1"/>
  <c r="G34" i="1" s="1"/>
  <c r="K429" i="1"/>
  <c r="B39" i="1"/>
  <c r="B52" i="1" s="1"/>
  <c r="B62" i="1" s="1"/>
  <c r="K627" i="1"/>
  <c r="K650" i="1"/>
  <c r="C627" i="1"/>
  <c r="C650" i="1"/>
  <c r="L27" i="1"/>
  <c r="L34" i="1" s="1"/>
  <c r="J31" i="1"/>
  <c r="M31" i="1"/>
  <c r="E650" i="1"/>
  <c r="E627" i="1"/>
  <c r="E18" i="1"/>
  <c r="I627" i="1"/>
  <c r="I650" i="1"/>
  <c r="D27" i="1"/>
  <c r="D34" i="1" s="1"/>
  <c r="M742" i="1"/>
  <c r="M985" i="1" s="1"/>
  <c r="M1084" i="1" s="1"/>
  <c r="M192" i="1"/>
  <c r="M17" i="1"/>
  <c r="E981" i="1"/>
  <c r="E26" i="1"/>
  <c r="F33" i="1"/>
  <c r="I742" i="1"/>
  <c r="L33" i="1"/>
  <c r="L39" i="1" s="1"/>
  <c r="L52" i="1" s="1"/>
  <c r="L62" i="1" s="1"/>
  <c r="J33" i="1"/>
  <c r="J981" i="1"/>
  <c r="I981" i="1"/>
  <c r="H50" i="1"/>
  <c r="F985" i="1"/>
  <c r="F1084" i="1" s="1"/>
  <c r="H981" i="1"/>
  <c r="H985" i="1" s="1"/>
  <c r="H1084" i="1" s="1"/>
  <c r="H26" i="1"/>
  <c r="H31" i="1" s="1"/>
  <c r="N981" i="1"/>
  <c r="N26" i="1"/>
  <c r="N31" i="1" s="1"/>
  <c r="K27" i="1"/>
  <c r="K31" i="1" s="1"/>
  <c r="I23" i="1"/>
  <c r="I33" i="1"/>
  <c r="C742" i="1"/>
  <c r="C985" i="1" s="1"/>
  <c r="C1084" i="1" s="1"/>
  <c r="E742" i="1"/>
  <c r="E192" i="1"/>
  <c r="E17" i="1"/>
  <c r="G985" i="1"/>
  <c r="G1084" i="1" s="1"/>
  <c r="J985" i="1"/>
  <c r="J1084" i="1" s="1"/>
  <c r="L345" i="1"/>
  <c r="B27" i="1"/>
  <c r="K18" i="1"/>
  <c r="B31" i="1"/>
  <c r="H429" i="1"/>
  <c r="M650" i="1"/>
  <c r="M627" i="1"/>
  <c r="M18" i="1"/>
  <c r="M34" i="1" s="1"/>
  <c r="C27" i="1"/>
  <c r="C31" i="1" s="1"/>
  <c r="G981" i="1"/>
  <c r="G26" i="1"/>
  <c r="J34" i="1"/>
  <c r="E27" i="1"/>
  <c r="D981" i="1"/>
  <c r="D985" i="1" s="1"/>
  <c r="D1084" i="1" s="1"/>
  <c r="B34" i="1"/>
  <c r="M27" i="1"/>
  <c r="M345" i="1"/>
  <c r="I34" i="1"/>
  <c r="G23" i="1"/>
  <c r="D33" i="1"/>
  <c r="D39" i="1" s="1"/>
  <c r="D52" i="1" s="1"/>
  <c r="D62" i="1" s="1"/>
  <c r="M23" i="1" l="1"/>
  <c r="M33" i="1"/>
  <c r="M39" i="1" s="1"/>
  <c r="M52" i="1" s="1"/>
  <c r="M62" i="1" s="1"/>
  <c r="E23" i="1"/>
  <c r="E33" i="1"/>
  <c r="D54" i="1"/>
  <c r="F54" i="1"/>
  <c r="J39" i="1"/>
  <c r="J52" i="1" s="1"/>
  <c r="G31" i="1"/>
  <c r="G33" i="1"/>
  <c r="G39" i="1" s="1"/>
  <c r="G52" i="1" s="1"/>
  <c r="G62" i="1" s="1"/>
  <c r="N33" i="1"/>
  <c r="N742" i="1"/>
  <c r="N985" i="1" s="1"/>
  <c r="N1084" i="1" s="1"/>
  <c r="N192" i="1"/>
  <c r="N17" i="1"/>
  <c r="N23" i="1" s="1"/>
  <c r="C34" i="1"/>
  <c r="N34" i="1" s="1"/>
  <c r="I985" i="1"/>
  <c r="I1084" i="1" s="1"/>
  <c r="B74" i="1"/>
  <c r="B76" i="1"/>
  <c r="B80" i="1" s="1"/>
  <c r="B84" i="1" s="1"/>
  <c r="B54" i="1"/>
  <c r="H39" i="1"/>
  <c r="H52" i="1" s="1"/>
  <c r="H62" i="1" s="1"/>
  <c r="L74" i="1"/>
  <c r="L76" i="1"/>
  <c r="L80" i="1" s="1"/>
  <c r="L84" i="1" s="1"/>
  <c r="D74" i="1"/>
  <c r="D76" i="1"/>
  <c r="D80" i="1" s="1"/>
  <c r="D84" i="1" s="1"/>
  <c r="E985" i="1"/>
  <c r="E1084" i="1" s="1"/>
  <c r="I39" i="1"/>
  <c r="I52" i="1" s="1"/>
  <c r="I62" i="1" s="1"/>
  <c r="G54" i="1"/>
  <c r="D31" i="1"/>
  <c r="K34" i="1"/>
  <c r="K39" i="1" s="1"/>
  <c r="K52" i="1" s="1"/>
  <c r="K62" i="1" s="1"/>
  <c r="K23" i="1"/>
  <c r="K54" i="1" s="1"/>
  <c r="F39" i="1"/>
  <c r="F52" i="1" s="1"/>
  <c r="F62" i="1" s="1"/>
  <c r="L54" i="1"/>
  <c r="I54" i="1"/>
  <c r="E31" i="1"/>
  <c r="E34" i="1"/>
  <c r="L31" i="1"/>
  <c r="J62" i="1" l="1"/>
  <c r="J54" i="1"/>
  <c r="K74" i="1"/>
  <c r="K76" i="1"/>
  <c r="K80" i="1" s="1"/>
  <c r="K84" i="1" s="1"/>
  <c r="N54" i="1"/>
  <c r="H54" i="1"/>
  <c r="H76" i="1"/>
  <c r="H80" i="1" s="1"/>
  <c r="H84" i="1" s="1"/>
  <c r="H74" i="1"/>
  <c r="E39" i="1"/>
  <c r="E52" i="1" s="1"/>
  <c r="E62" i="1" s="1"/>
  <c r="N39" i="1"/>
  <c r="N52" i="1" s="1"/>
  <c r="N62" i="1" s="1"/>
  <c r="E54" i="1"/>
  <c r="C39" i="1"/>
  <c r="C52" i="1" s="1"/>
  <c r="I74" i="1"/>
  <c r="I76" i="1"/>
  <c r="I80" i="1" s="1"/>
  <c r="I84" i="1" s="1"/>
  <c r="F76" i="1"/>
  <c r="F80" i="1" s="1"/>
  <c r="F84" i="1" s="1"/>
  <c r="F74" i="1"/>
  <c r="G76" i="1"/>
  <c r="G80" i="1" s="1"/>
  <c r="G84" i="1" s="1"/>
  <c r="G74" i="1"/>
  <c r="M76" i="1"/>
  <c r="M80" i="1" s="1"/>
  <c r="M84" i="1" s="1"/>
  <c r="M74" i="1"/>
  <c r="M54" i="1"/>
  <c r="C62" i="1" l="1"/>
  <c r="C54" i="1"/>
  <c r="N76" i="1"/>
  <c r="N80" i="1" s="1"/>
  <c r="N84" i="1" s="1"/>
  <c r="N74" i="1"/>
  <c r="E76" i="1"/>
  <c r="E80" i="1" s="1"/>
  <c r="E84" i="1" s="1"/>
  <c r="E74" i="1"/>
  <c r="J74" i="1"/>
  <c r="J76" i="1"/>
  <c r="J80" i="1" s="1"/>
  <c r="J84" i="1" s="1"/>
  <c r="C74" i="1" l="1"/>
  <c r="C76" i="1"/>
  <c r="C80" i="1" s="1"/>
  <c r="C84" i="1" s="1"/>
</calcChain>
</file>

<file path=xl/sharedStrings.xml><?xml version="1.0" encoding="utf-8"?>
<sst xmlns="http://schemas.openxmlformats.org/spreadsheetml/2006/main" count="727" uniqueCount="651">
  <si>
    <t>All Profit Centers</t>
  </si>
  <si>
    <t>Income Statement</t>
  </si>
  <si>
    <t>Period From 01/01/2024 To 12/31/2024</t>
  </si>
  <si>
    <t/>
  </si>
  <si>
    <t>Total</t>
  </si>
  <si>
    <t>Jan, 2024</t>
  </si>
  <si>
    <t>Feb, 2024</t>
  </si>
  <si>
    <t>Mar, 2024</t>
  </si>
  <si>
    <t>Apr, 2024</t>
  </si>
  <si>
    <t>May, 2024</t>
  </si>
  <si>
    <t>Jun, 2024</t>
  </si>
  <si>
    <t>Jul, 2024</t>
  </si>
  <si>
    <t>Aug, 2024</t>
  </si>
  <si>
    <t>Sep, 2024</t>
  </si>
  <si>
    <t>Oct, 2024</t>
  </si>
  <si>
    <t>Nov, 2024</t>
  </si>
  <si>
    <t>Dec, 2024</t>
  </si>
  <si>
    <t>Jan, 2024 - Dec, 2024</t>
  </si>
  <si>
    <t>Summary</t>
  </si>
  <si>
    <t>Rooms Available</t>
  </si>
  <si>
    <t>Rooms Sold</t>
  </si>
  <si>
    <t>Occupancy %</t>
  </si>
  <si>
    <t>ADR</t>
  </si>
  <si>
    <t>RevPAR</t>
  </si>
  <si>
    <t>Operating Revenue</t>
  </si>
  <si>
    <t>Room Department</t>
  </si>
  <si>
    <t>Food and Beverages Department</t>
  </si>
  <si>
    <t>Other Operating Department</t>
  </si>
  <si>
    <t>Miscellaneous Income</t>
  </si>
  <si>
    <t>Total Operating Revenue</t>
  </si>
  <si>
    <t>Departmental Expenses</t>
  </si>
  <si>
    <t>Total Departmental Expenses</t>
  </si>
  <si>
    <t>Total Departmental Income</t>
  </si>
  <si>
    <t>Undistributed Operating Expense</t>
  </si>
  <si>
    <t>Administrative &amp; General</t>
  </si>
  <si>
    <t>Information &amp; Telecom System</t>
  </si>
  <si>
    <t>Sales &amp; Marketing</t>
  </si>
  <si>
    <t>Franchise &amp; Affiliation</t>
  </si>
  <si>
    <t>Property Operations &amp; Maintenance</t>
  </si>
  <si>
    <t>Utilities</t>
  </si>
  <si>
    <t>Total Undistributed Operating Expense</t>
  </si>
  <si>
    <t>Gross Operating Profit</t>
  </si>
  <si>
    <t>GOP %</t>
  </si>
  <si>
    <t>Management Fees</t>
  </si>
  <si>
    <t>CAM and Lease Expense</t>
  </si>
  <si>
    <t>Total Management Fees</t>
  </si>
  <si>
    <t xml:space="preserve">Income Before </t>
  </si>
  <si>
    <t>Non-Operating Expenses</t>
  </si>
  <si>
    <t>Property &amp; Other Taxes</t>
  </si>
  <si>
    <t>Insurance</t>
  </si>
  <si>
    <t>Other Non-Operating Exp</t>
  </si>
  <si>
    <t>Total Non-Operating Expenses</t>
  </si>
  <si>
    <t>Non-Operating Income</t>
  </si>
  <si>
    <t>Net Operating Income(NOI)</t>
  </si>
  <si>
    <t>EBITDA</t>
  </si>
  <si>
    <t>Interest Expense</t>
  </si>
  <si>
    <t>EBTDA</t>
  </si>
  <si>
    <t>Depreciation &amp; Amortization</t>
  </si>
  <si>
    <t>Net Income (loss)</t>
  </si>
  <si>
    <t>Room Department Revenue</t>
  </si>
  <si>
    <t>Transient Revenue</t>
  </si>
  <si>
    <t>40010.000 . Transient - Best Available Rate</t>
  </si>
  <si>
    <t>40020.000 . Transient - Consortia</t>
  </si>
  <si>
    <t>40060.000 . Transient - Corporate Marketing Programs</t>
  </si>
  <si>
    <t>40070.000 . Transient - Other Discounts</t>
  </si>
  <si>
    <t>40110.000 . Transient - Corporate Negotiate</t>
  </si>
  <si>
    <t>40120.000 . Transient - Local Negotiated</t>
  </si>
  <si>
    <t>40270.000 . Transient Government</t>
  </si>
  <si>
    <t>Total Transient Revenue</t>
  </si>
  <si>
    <t>Group Revenue</t>
  </si>
  <si>
    <t>40350.000 . Group - Corporate</t>
  </si>
  <si>
    <t>40400.000 . Group - Association/Convention</t>
  </si>
  <si>
    <t>40500.000 . Group - Tour/Wholesalers</t>
  </si>
  <si>
    <t>40525.000 . Group - SMERF</t>
  </si>
  <si>
    <t>Total Group Revenue</t>
  </si>
  <si>
    <t>Other Revenue</t>
  </si>
  <si>
    <t>40600.000 . Contract Revenue</t>
  </si>
  <si>
    <t>40800.000 . Room Allowances</t>
  </si>
  <si>
    <t>40900.000 . Guaranteed No Show</t>
  </si>
  <si>
    <t>40930.000 . Late Checkout Fees</t>
  </si>
  <si>
    <t>40950.000 . Service Charge</t>
  </si>
  <si>
    <t>Total Other Revenue</t>
  </si>
  <si>
    <t>Total Room Department Revenue</t>
  </si>
  <si>
    <t>Room Expense</t>
  </si>
  <si>
    <t>Payroll Expense/Management</t>
  </si>
  <si>
    <t>Management</t>
  </si>
  <si>
    <t>42006.000 . Payroll - Executive Housekeeper</t>
  </si>
  <si>
    <t>42010.000 . Payroll - Assistant Housekeeper</t>
  </si>
  <si>
    <t>42040.000 . Payroll - Front Office Manager</t>
  </si>
  <si>
    <t>42050.000 . Payroll - Front Desk Supervisor</t>
  </si>
  <si>
    <t>42052.000 . Payroll- Valet</t>
  </si>
  <si>
    <t>Total Management</t>
  </si>
  <si>
    <t>Non-Management</t>
  </si>
  <si>
    <t>42060.000 . Payroll - Room Inspectors</t>
  </si>
  <si>
    <t>42070.000 . Payroll - Room Attendants</t>
  </si>
  <si>
    <t>42080.000 . Payroll - House Person</t>
  </si>
  <si>
    <t>42090.000 . Payroll - Lobby/Public Space</t>
  </si>
  <si>
    <t>42100.000 . Payroll - Reservations Desk</t>
  </si>
  <si>
    <t>42110.000 . Payroll - Guest Service Agent</t>
  </si>
  <si>
    <t>42120.000 . Payroll - Night Audit</t>
  </si>
  <si>
    <t>42195.000 . Payroll - Laundry Attendant</t>
  </si>
  <si>
    <t>42199.000 . Contract Labour</t>
  </si>
  <si>
    <t>Total Non-Management</t>
  </si>
  <si>
    <t>Total Payroll Expense/Management</t>
  </si>
  <si>
    <t>Payroll Taxes &amp; Benefits</t>
  </si>
  <si>
    <t>42210.000 . Bonus &amp; Incentives</t>
  </si>
  <si>
    <t>42250.000 . Payroll Taxes</t>
  </si>
  <si>
    <t>42300.000 . Workers Compensation</t>
  </si>
  <si>
    <t>42400.000 . Employee Benefits - Insurance</t>
  </si>
  <si>
    <t>42401.000 . Employee Benefits - Vacation Pay</t>
  </si>
  <si>
    <t>42402.000 . Employee Benefits - Sick Pay</t>
  </si>
  <si>
    <t>42403.000 . Employee Benefits - Holiday Pay</t>
  </si>
  <si>
    <t>Total Payroll Taxes &amp; Benefits</t>
  </si>
  <si>
    <t>Total Room Expense</t>
  </si>
  <si>
    <t>Other Expenses</t>
  </si>
  <si>
    <t>43050.000 . Cleaning Supplies</t>
  </si>
  <si>
    <t>43120.000 . Complimentary F &amp; B</t>
  </si>
  <si>
    <t>43130.000 . Complimentary In Room Entertainment</t>
  </si>
  <si>
    <t>43150.000 . Complimentary Service &amp; Gifts</t>
  </si>
  <si>
    <t>43152.000 . Service Recovery</t>
  </si>
  <si>
    <t>43200.000 . Commissions</t>
  </si>
  <si>
    <t>43210.000 . Commissions &amp; Fees Group</t>
  </si>
  <si>
    <t>43240.000 . Contract Service</t>
  </si>
  <si>
    <t>43250.000 . Decorations</t>
  </si>
  <si>
    <t>43300.000 . Equipment Rental</t>
  </si>
  <si>
    <t>43400.000 . Guest Relocation</t>
  </si>
  <si>
    <t>43450.000 . Guest Supplies</t>
  </si>
  <si>
    <t>43460.000 . Guest Transportation</t>
  </si>
  <si>
    <t>43465.000 . In-room small appliances</t>
  </si>
  <si>
    <t>43480.000 . Laundry</t>
  </si>
  <si>
    <t>43520.000 . Linen</t>
  </si>
  <si>
    <t>43560.000 . Chargebacks</t>
  </si>
  <si>
    <t>43570.000 . Music &amp; Entertainment</t>
  </si>
  <si>
    <t>43580.000 . Operating Supplies</t>
  </si>
  <si>
    <t>43590.000 . Postage and Delivery Charges</t>
  </si>
  <si>
    <t>43700.000 . Printing &amp; Stationary</t>
  </si>
  <si>
    <t>43800.000 . Training</t>
  </si>
  <si>
    <t>43900.000 . Uniforms</t>
  </si>
  <si>
    <t>43920.000 . Employee Meals</t>
  </si>
  <si>
    <t>Total Other Expenses</t>
  </si>
  <si>
    <t>Total Room Department Expenses</t>
  </si>
  <si>
    <t>Total Room Department Profit/(Loss)</t>
  </si>
  <si>
    <t>Room Statistics</t>
  </si>
  <si>
    <t>Transient - Best Available Rate</t>
  </si>
  <si>
    <t>Transient - Consortia</t>
  </si>
  <si>
    <t>Transient - Government</t>
  </si>
  <si>
    <t>Transient - Corporate Marketing Programs</t>
  </si>
  <si>
    <t>Transient - Other Discounts</t>
  </si>
  <si>
    <t>Transient - Corporate Negotiate</t>
  </si>
  <si>
    <t>Transient - Local Negotiated</t>
  </si>
  <si>
    <t>Group - Corporate</t>
  </si>
  <si>
    <t>Group - Association/Convention</t>
  </si>
  <si>
    <t>Group - Tour/Wholesalers</t>
  </si>
  <si>
    <t>Group - SMERF</t>
  </si>
  <si>
    <t>Contract Revenue</t>
  </si>
  <si>
    <t>Total Rooms Sold</t>
  </si>
  <si>
    <t>Guests</t>
  </si>
  <si>
    <t>Out of Order Rooms</t>
  </si>
  <si>
    <t>Complimentary Rooms</t>
  </si>
  <si>
    <t>Guaranteed No Show Rooms</t>
  </si>
  <si>
    <t>Vacant Rooms</t>
  </si>
  <si>
    <t>Transient ADR</t>
  </si>
  <si>
    <t>Total Transient ADR</t>
  </si>
  <si>
    <t>Group ADR</t>
  </si>
  <si>
    <t>Total Group ADR</t>
  </si>
  <si>
    <t>Contract ADR</t>
  </si>
  <si>
    <t>Total Contract ADR</t>
  </si>
  <si>
    <t>Banquet &amp; Catering Department</t>
  </si>
  <si>
    <t>Banquet &amp; Catering Department Revenue</t>
  </si>
  <si>
    <t>Banqeut Food Revenue</t>
  </si>
  <si>
    <t>50605.000 . Banquet Food Revenue - Breakfast</t>
  </si>
  <si>
    <t>50610.000 . Banquet Food Revenue - Lunch</t>
  </si>
  <si>
    <t>50620.000 . Banquet Food Revenue - Dinner</t>
  </si>
  <si>
    <t>50630.000 . Banquet Food Revenue - Coffee Break</t>
  </si>
  <si>
    <t>50640.000 . Banquet Food Revenue - Reception</t>
  </si>
  <si>
    <t>Total Banqeut Food Revenue</t>
  </si>
  <si>
    <t>Banquet Beverage Revenue</t>
  </si>
  <si>
    <t>50650.000 . Banquet Beverage Revenue - Beer</t>
  </si>
  <si>
    <t>50660.000 . Banquet Beverage Revenue - Liqour</t>
  </si>
  <si>
    <t>50670.000 . Banquet Beverage Revenue - Wine</t>
  </si>
  <si>
    <t>Total Banquet Beverage Revenue</t>
  </si>
  <si>
    <t>Banquet Other Revenue</t>
  </si>
  <si>
    <t>50700.000 . Banquet Room Rental Revenue</t>
  </si>
  <si>
    <t>50710.000 . Banquet Surcharges &amp; Service Charges</t>
  </si>
  <si>
    <t>50800.000 . Banquet A/V Rental Revenue</t>
  </si>
  <si>
    <t>50850.000 . Banquet Other Miscellaneous Revenue</t>
  </si>
  <si>
    <t>Total Banquet Other Revenue</t>
  </si>
  <si>
    <t>Total Banquet &amp; Catering Department Revenue</t>
  </si>
  <si>
    <t>Banquet &amp; Catering Department Cost Of Sales</t>
  </si>
  <si>
    <t>51100.000 . Cost of Food Sales</t>
  </si>
  <si>
    <t>51200.000 . Cost of Beverage</t>
  </si>
  <si>
    <t>51600.000 . Cost of A/V Rental</t>
  </si>
  <si>
    <t>51700.000 . Cost of Other - GRT</t>
  </si>
  <si>
    <t>Total Banquet &amp; Catering Department Cost Of Sales</t>
  </si>
  <si>
    <t>Gross Operating Income</t>
  </si>
  <si>
    <t>Banquet Payroll</t>
  </si>
  <si>
    <t>Banquet Salaries &amp; Wages</t>
  </si>
  <si>
    <t>Banquet Payroll Expense/Management</t>
  </si>
  <si>
    <t>52030.000 . Payroll - Banquet Manager</t>
  </si>
  <si>
    <t>Total Banquet Payroll Expense/Management</t>
  </si>
  <si>
    <t>Banquet Non-Management</t>
  </si>
  <si>
    <t>52040.000 . Payroll - Banquet Captain</t>
  </si>
  <si>
    <t>52100.000 . Payroll - Banquet Server</t>
  </si>
  <si>
    <t>52140.000 . Payroll - Banquet Set Up</t>
  </si>
  <si>
    <t>52199.000 . Contract Labour</t>
  </si>
  <si>
    <t>Total Banquet Non-Management</t>
  </si>
  <si>
    <t>Total Banquet Salaries &amp; Wages</t>
  </si>
  <si>
    <t>Banquet Taxes &amp; Benefits</t>
  </si>
  <si>
    <t>52210.000 . Bonus &amp; Incentives</t>
  </si>
  <si>
    <t>52250.000 . Payroll Taxes</t>
  </si>
  <si>
    <t>52300.000 . Workers Compensation</t>
  </si>
  <si>
    <t>52400.000 . Employee Benefits - Insurance</t>
  </si>
  <si>
    <t>52401.000 . Employee Benefits - Vacation Pay</t>
  </si>
  <si>
    <t>52402.000 . Employee Benefits - Sick Pay</t>
  </si>
  <si>
    <t>52403.000 . Employee Benefits - Holiday Pay</t>
  </si>
  <si>
    <t>Total Banquet Taxes &amp; Benefits</t>
  </si>
  <si>
    <t>Total Banquet Payroll</t>
  </si>
  <si>
    <t>53010.000 . China</t>
  </si>
  <si>
    <t>53050.000 . Cleaning Supplies</t>
  </si>
  <si>
    <t>53150.000 . Complimentary Service &amp; Gifts</t>
  </si>
  <si>
    <t>53250.000 . Decorations</t>
  </si>
  <si>
    <t>53255.000 . Dishwashing Supplies</t>
  </si>
  <si>
    <t>53300.000 . Equipment Rental</t>
  </si>
  <si>
    <t>53310.000 . Flatware/Silver</t>
  </si>
  <si>
    <t>53400.000 . Kitchen Fuel</t>
  </si>
  <si>
    <t>53450.000 . Kitchen Smallwares</t>
  </si>
  <si>
    <t>53500.000 . Licenses &amp; Permits</t>
  </si>
  <si>
    <t>53520.000 . Linen</t>
  </si>
  <si>
    <t>53580.000 . Operating Supplies</t>
  </si>
  <si>
    <t>53600.000 . Paper &amp; Plastics</t>
  </si>
  <si>
    <t>53700.000 . Printing &amp; Stationary</t>
  </si>
  <si>
    <t>53800.000 . Training</t>
  </si>
  <si>
    <t>53880.000 . Uniforms</t>
  </si>
  <si>
    <t>53930.000 . Utensils</t>
  </si>
  <si>
    <t>Total Banquet &amp; Catering Department Expenses</t>
  </si>
  <si>
    <t>Total Banquet &amp; Catering Department Profit/(Loss)</t>
  </si>
  <si>
    <t>Restaurant One</t>
  </si>
  <si>
    <t>Restaurant One Revenue</t>
  </si>
  <si>
    <t>Restaurant One Food Revenue</t>
  </si>
  <si>
    <t>60050.000 . Restaurant One - Food Sales - Breakfast</t>
  </si>
  <si>
    <t>60060.000 . Restaurant One - Food Sales - Lunch</t>
  </si>
  <si>
    <t>Total Restaurant One Food Revenue</t>
  </si>
  <si>
    <t>Restaurant One Beverage Revenue</t>
  </si>
  <si>
    <t>60150.000 . Restaurant One - Beverage Sales - Beer</t>
  </si>
  <si>
    <t>60200.000 . Restaurant One - Beverage Sales - Liquor</t>
  </si>
  <si>
    <t>60300.000 . Restaurant One - Beverage Sales - Wine</t>
  </si>
  <si>
    <t>Total Restaurant One Beverage Revenue</t>
  </si>
  <si>
    <t>Total Restaurant One Revenue</t>
  </si>
  <si>
    <t>Restaurant One Cost Of Sales</t>
  </si>
  <si>
    <t>61100.000 . Cost of Food Sales</t>
  </si>
  <si>
    <t>61200.000 . Cost of Beverage</t>
  </si>
  <si>
    <t>Total Restaurant One Cost Of Sales</t>
  </si>
  <si>
    <t>Restaurant One Payroll</t>
  </si>
  <si>
    <t>Restaurant One Salaries &amp; Wages</t>
  </si>
  <si>
    <t>Restaurant One Payroll Expense/ Management</t>
  </si>
  <si>
    <t>62020.000 . Payroll - Restaurant One Executive Chef</t>
  </si>
  <si>
    <t>62025.000 . Payroll - Restaurant One Sous Chef</t>
  </si>
  <si>
    <t>62030.000 . Payroll - Restaurant One Manager</t>
  </si>
  <si>
    <t>Total Restaurant One Payroll Expense/ Management</t>
  </si>
  <si>
    <t>Restaurant One Non-Management</t>
  </si>
  <si>
    <t>62100.000 . Payroll - Restaurant One Server</t>
  </si>
  <si>
    <t>62150.000 . Payroll - Restaurant One Cook</t>
  </si>
  <si>
    <t>62170.000 . Payroll - Restaurant One Dishwasher</t>
  </si>
  <si>
    <t>62180.000 . Payroll - Restaurant Bus Help</t>
  </si>
  <si>
    <t>62199.000 . Contract Labour</t>
  </si>
  <si>
    <t>Total Restaurant One Non-Management</t>
  </si>
  <si>
    <t>Total Restaurant One Salaries &amp; Wages</t>
  </si>
  <si>
    <t>Restaurant One Taxes &amp; Benefits</t>
  </si>
  <si>
    <t>62220.000 . Bonus &amp; Incentives</t>
  </si>
  <si>
    <t>62250.000 . Payroll Taxes</t>
  </si>
  <si>
    <t>62300.000 . Workers Compensation</t>
  </si>
  <si>
    <t>62400.000 . Employee Benefits - Insurance</t>
  </si>
  <si>
    <t>62401.000 . Employee Benefits - Vacation Pay</t>
  </si>
  <si>
    <t>62402.000 . Employee Benefits - Sick Pay</t>
  </si>
  <si>
    <t>62403.000 . Employee Benefits - Holiday Pay</t>
  </si>
  <si>
    <t>Total Restaurant One Taxes &amp; Benefits</t>
  </si>
  <si>
    <t>Total Restaurant One Payroll</t>
  </si>
  <si>
    <t>63050.000 . Cleaning Supplies</t>
  </si>
  <si>
    <t>63250.000 . Decorations</t>
  </si>
  <si>
    <t>63300.000 . Equipment Rental</t>
  </si>
  <si>
    <t>63330.000 . Utensils</t>
  </si>
  <si>
    <t>63500.000 . Licenses &amp; Permits</t>
  </si>
  <si>
    <t>63530.000 . Menus</t>
  </si>
  <si>
    <t>63580.000 . Operating Supplies</t>
  </si>
  <si>
    <t>63600.000 . Paper &amp; Plastics</t>
  </si>
  <si>
    <t>63700.000 . Printing &amp; Stationary</t>
  </si>
  <si>
    <t>63800.000 . Training</t>
  </si>
  <si>
    <t>63820.000 . Travel - Meals &amp; Entertainment</t>
  </si>
  <si>
    <t>Total Restaurant One Expenses</t>
  </si>
  <si>
    <t>Total Restaurant One Profit/(Loss)</t>
  </si>
  <si>
    <t>Banquet &amp; Catering</t>
  </si>
  <si>
    <t>Banquet Food Revenue - Breakfast</t>
  </si>
  <si>
    <t>Banquet Food Revenue - Breakfast Avg CK</t>
  </si>
  <si>
    <t>Banquet Food Revenue - Coffee Break</t>
  </si>
  <si>
    <t>Banquet Food Revenue - Coffee Break Avg CK</t>
  </si>
  <si>
    <t>Banquet Food Revenue - Dinner</t>
  </si>
  <si>
    <t>Banquet Food Revenue - Dinner Avg CK</t>
  </si>
  <si>
    <t>Banquet Food Revenue - Lunch</t>
  </si>
  <si>
    <t>Banquet Food Revenue - Lunch Avg CK</t>
  </si>
  <si>
    <t>Restaurant One - Food Sales - Breakfast</t>
  </si>
  <si>
    <t>Restaurant One - Food Sales - Breakfast Avg CK</t>
  </si>
  <si>
    <t>Restaurant One - Food Sales - Lunch</t>
  </si>
  <si>
    <t>Restaurant One - Food Sales - Lunch Avg CK</t>
  </si>
  <si>
    <t>Restaurant Two</t>
  </si>
  <si>
    <t>Restaurant Two Revenue</t>
  </si>
  <si>
    <t>170500.000 . Restaurant Two - Starbucks</t>
  </si>
  <si>
    <t>170990.000 . Restaurant Two - Food Allowances</t>
  </si>
  <si>
    <t>Total Restaurant Two Revenue</t>
  </si>
  <si>
    <t>Restaurant Two Cost Of Sales</t>
  </si>
  <si>
    <t>171100.000 . Restaurant Two - Cost of Food Sales</t>
  </si>
  <si>
    <t>Total Restaurant Two Cost Of Sales</t>
  </si>
  <si>
    <t>Restaurant Two Payroll</t>
  </si>
  <si>
    <t>Restaurant Two Salaries &amp; Wages</t>
  </si>
  <si>
    <t>Restaurant Two Expense/Management</t>
  </si>
  <si>
    <t>172030.000 . Payroll - Restaurant Two Restaurant Manager</t>
  </si>
  <si>
    <t>Total Restaurant Two Expense/Management</t>
  </si>
  <si>
    <t>Restaurant Two Non-Management</t>
  </si>
  <si>
    <t>172105.000 . Payroll - Restaurant Two Server</t>
  </si>
  <si>
    <t>Total Restaurant Two Non-Management</t>
  </si>
  <si>
    <t>Total Restaurant Two Salaries &amp; Wages</t>
  </si>
  <si>
    <t>Restaurant Two Taxes &amp; Benefits</t>
  </si>
  <si>
    <t>172250.000 . Payroll Taxes</t>
  </si>
  <si>
    <t>172300.000 . Workers Compensation</t>
  </si>
  <si>
    <t>172400.000 . Employee Benefits - Insurance</t>
  </si>
  <si>
    <t>172401.000 . Employee Benefits - Vacation Pay</t>
  </si>
  <si>
    <t>172402.000 . Employee Benefits - Sick Pay</t>
  </si>
  <si>
    <t>172403.000 . Employee Benefits - Holiday Pay</t>
  </si>
  <si>
    <t>Total Restaurant Two Taxes &amp; Benefits</t>
  </si>
  <si>
    <t>Total Restaurant Two Payroll</t>
  </si>
  <si>
    <t>173050.000 . Cleaning Supplies</t>
  </si>
  <si>
    <t>173450.000 . Kitchen Smallwares</t>
  </si>
  <si>
    <t>173500.000 . Licenses &amp; Permits</t>
  </si>
  <si>
    <t>173580.000 . Operating Supplies</t>
  </si>
  <si>
    <t>173600.000 . Paper &amp; Plastics</t>
  </si>
  <si>
    <t>173700.000 . Printing &amp; Stationary</t>
  </si>
  <si>
    <t>173760.000 . Royalty Fees</t>
  </si>
  <si>
    <t>173880.000 . Uniforms</t>
  </si>
  <si>
    <t>Total Restaurant Two Expenses</t>
  </si>
  <si>
    <t>Total Restaurant Two Profit/(Loss)</t>
  </si>
  <si>
    <t>Lounge Department</t>
  </si>
  <si>
    <t>Lounge Department Revenue</t>
  </si>
  <si>
    <t>Lounge Food Revenue</t>
  </si>
  <si>
    <t>180070.000 . Lounge - Food Sales - Dinner</t>
  </si>
  <si>
    <t>Total Lounge Food Revenue</t>
  </si>
  <si>
    <t>Lounge Beverage Revenue</t>
  </si>
  <si>
    <t>180150.000 . Lounge - Beverage Sales - Beer</t>
  </si>
  <si>
    <t>180200.000 . Lounge - Beverage Sales - Wine</t>
  </si>
  <si>
    <t>180300.000 . Lounge - Beverage Sales - Liqour</t>
  </si>
  <si>
    <t>Total Lounge Beverage Revenue</t>
  </si>
  <si>
    <t>Total Lounge Department Revenue</t>
  </si>
  <si>
    <t>Lounge Department Cost Of Sales</t>
  </si>
  <si>
    <t>181150.000 . Lounge - Cost of Food Sales</t>
  </si>
  <si>
    <t>181200.000 . Lounge - Cost of Beverage</t>
  </si>
  <si>
    <t>Total Lounge Department Cost Of Sales</t>
  </si>
  <si>
    <t>Lounge Payroll</t>
  </si>
  <si>
    <t>Lounge Salaries &amp; Wages</t>
  </si>
  <si>
    <t>Lounge Non-Management</t>
  </si>
  <si>
    <t>182105.000 . Payroll - Lounge Server</t>
  </si>
  <si>
    <t>182120.000 . Payroll - Lounge Bartender</t>
  </si>
  <si>
    <t>Total Lounge Non-Management</t>
  </si>
  <si>
    <t>Total Lounge Salaries &amp; Wages</t>
  </si>
  <si>
    <t>Lounge Payroll Taxes &amp; Benefits</t>
  </si>
  <si>
    <t>182250.000 . Payroll Taxes</t>
  </si>
  <si>
    <t>182300.000 . Workers Compensation</t>
  </si>
  <si>
    <t>182400.000 . Employee Benefits- Insurance</t>
  </si>
  <si>
    <t>182401.000 . Employee Benefits - Vacation Pay</t>
  </si>
  <si>
    <t>182402.000 . Employee Benefits - Sick Pay</t>
  </si>
  <si>
    <t>182403.000 . Employee Benefits - Holiday Pay</t>
  </si>
  <si>
    <t>Total Lounge Payroll Taxes &amp; Benefits</t>
  </si>
  <si>
    <t>Total Lounge Payroll</t>
  </si>
  <si>
    <t>183530.000 . Menus</t>
  </si>
  <si>
    <t>183570.000 . Music &amp; Entertainment</t>
  </si>
  <si>
    <t>183880.000 . Uniforms</t>
  </si>
  <si>
    <t>Total Lounge Department Expenses</t>
  </si>
  <si>
    <t>Total Lounge Department Profit/(Loss)</t>
  </si>
  <si>
    <t>Lounge Revenue</t>
  </si>
  <si>
    <t>Lounge - Food Sales - Dinner</t>
  </si>
  <si>
    <t>Lounge - Food Sales - Dinner Avg CK</t>
  </si>
  <si>
    <t>Room Service Department</t>
  </si>
  <si>
    <t>Room Service Department Revenue</t>
  </si>
  <si>
    <t>Room Service Food Revenue</t>
  </si>
  <si>
    <t>200050.000 . Room Service - Food Sales - Breakfast</t>
  </si>
  <si>
    <t>200060.000 . Room Service - Food Sales - Lunch</t>
  </si>
  <si>
    <t>200070.000 . Room Service - Food Sales - Dinner</t>
  </si>
  <si>
    <t>Total Room Service Food Revenue</t>
  </si>
  <si>
    <t>Room Service Beverage Revenue</t>
  </si>
  <si>
    <t>200150.000 . Room Service - Beverage Sales - Beer</t>
  </si>
  <si>
    <t>200200.000 . Room Service - Beverage Sales - Wine</t>
  </si>
  <si>
    <t>200300.000 . Room Service - Beverage Sales - Liqour</t>
  </si>
  <si>
    <t>Total Room Service Beverage Revenue</t>
  </si>
  <si>
    <t>Room Service Other Revenue</t>
  </si>
  <si>
    <t>200600.000 . Room Service Service Charge</t>
  </si>
  <si>
    <t>Total Room Service Other Revenue</t>
  </si>
  <si>
    <t>Total Room Service Department Revenue</t>
  </si>
  <si>
    <t>Room Service Department Cost Of Sales</t>
  </si>
  <si>
    <t>201150.000 . Room Service - Cost of Food Sales</t>
  </si>
  <si>
    <t>201200.000 . Room Service - Cost of Beverage</t>
  </si>
  <si>
    <t>Total Room Service Department Cost Of Sales</t>
  </si>
  <si>
    <t>Room Service Payroll</t>
  </si>
  <si>
    <t>Room Service Salaries &amp; Wages</t>
  </si>
  <si>
    <t>Room Service Non-Management</t>
  </si>
  <si>
    <t>202180.000 . Payroll - Room Service Bus Help</t>
  </si>
  <si>
    <t>Total Room Service Non-Management</t>
  </si>
  <si>
    <t>Total Room Service Salaries &amp; Wages</t>
  </si>
  <si>
    <t>Room Service Taxes &amp; Benefits</t>
  </si>
  <si>
    <t>202250.000 . Payroll Taxes</t>
  </si>
  <si>
    <t>202300.000 . Workers Compensation</t>
  </si>
  <si>
    <t>202400.000 . Employee Benefits - Insurance</t>
  </si>
  <si>
    <t>202401.000 . Employee Benefits - Vacation Pay</t>
  </si>
  <si>
    <t>Total Room Service Taxes &amp; Benefits</t>
  </si>
  <si>
    <t>Total Room Service Payroll</t>
  </si>
  <si>
    <t>Total Room Service Department Expenses</t>
  </si>
  <si>
    <t>Total Room Service Department Profit/(Loss)</t>
  </si>
  <si>
    <t>Room Service Revenue</t>
  </si>
  <si>
    <t>Room Service - Food Sales - Breakfast</t>
  </si>
  <si>
    <t>Room Service - Food Sales - Breakfast Avg CK</t>
  </si>
  <si>
    <t>Room Service - Food Sales - Dinner</t>
  </si>
  <si>
    <t>Room Service - Food Sales - Dinner Avg CK</t>
  </si>
  <si>
    <t>Room Service - Food Sales - Lunch</t>
  </si>
  <si>
    <t>Room Service - Food Sales - Lunch Avg CK</t>
  </si>
  <si>
    <t>Gift Shop Department</t>
  </si>
  <si>
    <t>Gift Shop Department Revenue</t>
  </si>
  <si>
    <t>190005.000 . Gift Shop Revenue</t>
  </si>
  <si>
    <t>Total Gift Shop Department Revenue</t>
  </si>
  <si>
    <t>Gift Shop Department Cost Of Sales</t>
  </si>
  <si>
    <t>191000.000 . Gift Shop - Cost of Sales</t>
  </si>
  <si>
    <t>191300.000 . Gift Shop Cost of Sales</t>
  </si>
  <si>
    <t>Total Gift Shop Department Cost Of Sales</t>
  </si>
  <si>
    <t>Total Gift Shop Department Expenses</t>
  </si>
  <si>
    <t>Total Gift Shop Department Profit/(Loss)</t>
  </si>
  <si>
    <t>Minor Operated Departments</t>
  </si>
  <si>
    <t>Minor Operated Departments Revenue</t>
  </si>
  <si>
    <t>65130.000 . Guest Laundry/Dry Cleaning Income</t>
  </si>
  <si>
    <t>65140.000 . Movie Rental Income</t>
  </si>
  <si>
    <t>65160.000 . Parking Income</t>
  </si>
  <si>
    <t>Total Minor Operated Departments Revenue</t>
  </si>
  <si>
    <t>Minor Operated Departments Expense</t>
  </si>
  <si>
    <t>66130.000 . Guest Laundry/Dry Cleaning Expense</t>
  </si>
  <si>
    <t>66140.000 . Movie Rental Expense</t>
  </si>
  <si>
    <t>66160.000 . Parking Expense</t>
  </si>
  <si>
    <t>66190.000 . Fitness Center Expense</t>
  </si>
  <si>
    <t>Total Minor Operated Departments Expense</t>
  </si>
  <si>
    <t>Minor Operated Departments Profit</t>
  </si>
  <si>
    <t>Guest Laundry/Dry Cleaning Profit</t>
  </si>
  <si>
    <t>Movie Rental Profit</t>
  </si>
  <si>
    <t>Parking Profit</t>
  </si>
  <si>
    <t>Total Minor Operated Departments Profit</t>
  </si>
  <si>
    <t>Miscellaneous Income Revenue</t>
  </si>
  <si>
    <t>70100.000 . Miscellaneous</t>
  </si>
  <si>
    <t>70105.000 . Attrition Fees</t>
  </si>
  <si>
    <t>70200.000 . Cancellation Fees</t>
  </si>
  <si>
    <t>70250.000 . Cash Discounts Earned</t>
  </si>
  <si>
    <t>70300.000 . Pet Fees</t>
  </si>
  <si>
    <t>70325.000 . Smoking Fees</t>
  </si>
  <si>
    <t>70330.000 . Internet Income</t>
  </si>
  <si>
    <t>70350.000 . Telephone Income</t>
  </si>
  <si>
    <t>70360.000 . Commissions</t>
  </si>
  <si>
    <t>70600.000 . Miscellaneous Income others</t>
  </si>
  <si>
    <t>Total Miscellaneous Income Revenue</t>
  </si>
  <si>
    <t>Administrative &amp; General Cost Of Sales</t>
  </si>
  <si>
    <t>A &amp; G Payroll</t>
  </si>
  <si>
    <t>A &amp; G Salaries &amp; Wages</t>
  </si>
  <si>
    <t>A &amp; G Payroll Expense/ Management</t>
  </si>
  <si>
    <t>82020.000 . Payroll - General Manager</t>
  </si>
  <si>
    <t>82025.000 . Payroll - Director of Operations / Controller</t>
  </si>
  <si>
    <t>Total A &amp; G Payroll Expense/ Management</t>
  </si>
  <si>
    <t>A &amp; G Non-Management</t>
  </si>
  <si>
    <t>82040.000 . Payroll - Accounting</t>
  </si>
  <si>
    <t>82050.000 . Payroll - Human Resources</t>
  </si>
  <si>
    <t>82070.000 . Payroll - Security</t>
  </si>
  <si>
    <t>Total A &amp; G Non-Management</t>
  </si>
  <si>
    <t>Total A &amp; G Salaries &amp; Wages</t>
  </si>
  <si>
    <t>A &amp; G Payroll Taxes &amp; Benefits</t>
  </si>
  <si>
    <t>82220.000 . Bonus &amp; Incentives</t>
  </si>
  <si>
    <t>82250.000 . Payroll Taxes</t>
  </si>
  <si>
    <t>82300.000 . Workers Compensation</t>
  </si>
  <si>
    <t>82400.000 . Employee Benefits - Insurance</t>
  </si>
  <si>
    <t>82401.000 . Employee Benefits - Vacation Pay</t>
  </si>
  <si>
    <t>82402.000 . Employee Benefits - Sick Pay</t>
  </si>
  <si>
    <t>82403.000 . Employee Benefits - Holiday Pay</t>
  </si>
  <si>
    <t>Total A &amp; G Payroll Taxes &amp; Benefits</t>
  </si>
  <si>
    <t>Total A &amp; G Payroll</t>
  </si>
  <si>
    <t>83040.000 . Human Resources</t>
  </si>
  <si>
    <t>83050.000 . Bank Service Charges</t>
  </si>
  <si>
    <t>83070.000 . Cash Overage/Shortage</t>
  </si>
  <si>
    <t>83080.000 . Centralized Accounting Charges</t>
  </si>
  <si>
    <t>83200.000 . Credit Card Commissions</t>
  </si>
  <si>
    <t>83240.000 . Contract Services</t>
  </si>
  <si>
    <t>83245.000 . Credit &amp; Collections</t>
  </si>
  <si>
    <t>83550.000 . Miscellaneous</t>
  </si>
  <si>
    <t>83580.000 . Operating Supplies</t>
  </si>
  <si>
    <t>83600.000 . Payroll Processing</t>
  </si>
  <si>
    <t>83650.000 . Postage &amp; Delivery Charges</t>
  </si>
  <si>
    <t>83700.000 . Printing &amp; Stationary</t>
  </si>
  <si>
    <t>83710.000 . Professional Fees</t>
  </si>
  <si>
    <t>83720.000 . Consulting Fees</t>
  </si>
  <si>
    <t>83750.000 . Security</t>
  </si>
  <si>
    <t>83810.000 . Travel - Meals &amp; Entertainment</t>
  </si>
  <si>
    <t>83880.000 . Uniforms</t>
  </si>
  <si>
    <t>83920.000 . Employee Meals</t>
  </si>
  <si>
    <t>Total Administrative &amp; General Cost Of Sales</t>
  </si>
  <si>
    <t>Total Administrative &amp; General Expenses</t>
  </si>
  <si>
    <t>Information &amp; Telecom System Cost Of Sales</t>
  </si>
  <si>
    <t>I &amp; T System Expense</t>
  </si>
  <si>
    <t>93001.000 . Admin &amp; General Systems</t>
  </si>
  <si>
    <t>93004.000 . Rooms Systems</t>
  </si>
  <si>
    <t>Total I &amp; T System Expense</t>
  </si>
  <si>
    <t>93009.000 . Hardware</t>
  </si>
  <si>
    <t>93012.000 . Property Operations &amp; Maintenance</t>
  </si>
  <si>
    <t>Total Information &amp; Telecom System Cost Of Sales</t>
  </si>
  <si>
    <t>91010.000 . Cost of Internet Services</t>
  </si>
  <si>
    <t>91020.000 . Cost of Local Calls</t>
  </si>
  <si>
    <t>91030.000 . Cost of Long Distance Calls</t>
  </si>
  <si>
    <t>Total Information &amp; Telecom System Expenses</t>
  </si>
  <si>
    <t>Sales &amp; Marketing Cost Of Sales</t>
  </si>
  <si>
    <t>Sales &amp; Marketing Payroll</t>
  </si>
  <si>
    <t>Sales &amp; Marketing Salary &amp; Wages</t>
  </si>
  <si>
    <t>S &amp; M Payroll Expense/Management</t>
  </si>
  <si>
    <t>102000.000 . Sales &amp; Mktg Expense</t>
  </si>
  <si>
    <t>102008.000 . Payroll - Director of Sales</t>
  </si>
  <si>
    <t>Total S &amp; M Payroll Expense/Management</t>
  </si>
  <si>
    <t>S &amp; M Non-Management</t>
  </si>
  <si>
    <t>102050.000 . Payroll - Sales Manager</t>
  </si>
  <si>
    <t>Total S &amp; M Non-Management</t>
  </si>
  <si>
    <t>Total Sales &amp; Marketing Salary &amp; Wages</t>
  </si>
  <si>
    <t>S &amp; M Taxes &amp; Benefits</t>
  </si>
  <si>
    <t>102220.000 . Bonus &amp; Incentives</t>
  </si>
  <si>
    <t>102250.000 . Payroll Taxes</t>
  </si>
  <si>
    <t>102300.000 . Workers Compensation</t>
  </si>
  <si>
    <t>102400.000 . Employee Benefits - Insurance</t>
  </si>
  <si>
    <t>102401.000 . Employee Benefits - Vacation Pay</t>
  </si>
  <si>
    <t>102402.000 . Employee Benefits - Sick Pay</t>
  </si>
  <si>
    <t>102403.000 . Employee Benefits - Holiday Pay</t>
  </si>
  <si>
    <t>Total S &amp; M Taxes &amp; Benefits</t>
  </si>
  <si>
    <t>Total Sales &amp; Marketing Payroll</t>
  </si>
  <si>
    <t>103150.000 . Complimentary Service &amp; Gifts</t>
  </si>
  <si>
    <t>103260.000 . Dues &amp; Subscriptions</t>
  </si>
  <si>
    <t>103420.000 . Sales and Marketing</t>
  </si>
  <si>
    <t>103580.000 . Operating Supplies</t>
  </si>
  <si>
    <t>103700.000 . Promotion</t>
  </si>
  <si>
    <t>103750.000 . Trade Shows</t>
  </si>
  <si>
    <t>103800.000 . Training</t>
  </si>
  <si>
    <t>103850.000 . Travel - Meals &amp; Entertainment</t>
  </si>
  <si>
    <t>Total Sales &amp; Marketing Cost Of Sales</t>
  </si>
  <si>
    <t>Total Sales &amp; Marketing Expenses</t>
  </si>
  <si>
    <t>Franchise &amp; Affiliation Cost Of Sales</t>
  </si>
  <si>
    <t>103010.000 . Franchise &amp; Affiliation Marketing</t>
  </si>
  <si>
    <t>103020.000 . Franchise &amp; Affiliation Marketing - Royalties</t>
  </si>
  <si>
    <t>103030.000 . Loyalty Programs</t>
  </si>
  <si>
    <t>103040.000 . Franchise Invoice Commissions</t>
  </si>
  <si>
    <t>Total Franchise &amp; Affiliation Cost Of Sales</t>
  </si>
  <si>
    <t>Total Franchise &amp; Affiliation Expenses</t>
  </si>
  <si>
    <t>Property Operations &amp; Maintenance Cost Of Sales</t>
  </si>
  <si>
    <t>POM Payroll</t>
  </si>
  <si>
    <t>POM Salary &amp; Wages</t>
  </si>
  <si>
    <t>POM Payroll Expense/Management</t>
  </si>
  <si>
    <t>112005.000 . Payroll - Chief Engineer</t>
  </si>
  <si>
    <t>Total POM Payroll Expense/Management</t>
  </si>
  <si>
    <t>POM Non-Management</t>
  </si>
  <si>
    <t>112030.000 . Payroll - Engineers</t>
  </si>
  <si>
    <t>Total POM Non-Management</t>
  </si>
  <si>
    <t>Total POM Salary &amp; Wages</t>
  </si>
  <si>
    <t>POM Taxes &amp; Benefits</t>
  </si>
  <si>
    <t>112220.000 . Bonus &amp; Incentives</t>
  </si>
  <si>
    <t>112250.000 . Payroll Taxes</t>
  </si>
  <si>
    <t>112300.000 . Workers Compensation</t>
  </si>
  <si>
    <t>112400.000 . Employee Benefits - Insurance</t>
  </si>
  <si>
    <t>112401.000 . Employee Benefits - Vacation Pay</t>
  </si>
  <si>
    <t>112402.000 . Employee Benefits - Sick Pay</t>
  </si>
  <si>
    <t>112403.000 . Employee Benefits - Holiday Pay</t>
  </si>
  <si>
    <t>Total POM Taxes &amp; Benefits</t>
  </si>
  <si>
    <t>Total POM Payroll</t>
  </si>
  <si>
    <t>113050.000 . Building</t>
  </si>
  <si>
    <t>113240.000 . Contract Services</t>
  </si>
  <si>
    <t>113260.000 . Dues &amp; Subscriptions</t>
  </si>
  <si>
    <t>113265.000 . Electrical &amp; Mechanical Equipment</t>
  </si>
  <si>
    <t>113270.000 . Room Repairs</t>
  </si>
  <si>
    <t>113280.000 . Elevators</t>
  </si>
  <si>
    <t>113290.000 . Engineering Supplies</t>
  </si>
  <si>
    <t>113300.000 . Equipment Rental</t>
  </si>
  <si>
    <t>113380.000 . Grounds Maintenance &amp; Landscaping</t>
  </si>
  <si>
    <t>113400.000 . HVAC Repairs</t>
  </si>
  <si>
    <t>113450.000 . Kitchen Equipment</t>
  </si>
  <si>
    <t>113480.000 . Laundry Equipment</t>
  </si>
  <si>
    <t>113500.000 . Licenses &amp; Permits</t>
  </si>
  <si>
    <t>113505.000 . Life/Safety</t>
  </si>
  <si>
    <t>113510.000 . Light Bulbs</t>
  </si>
  <si>
    <t>113620.000 . Painting &amp; Decorating</t>
  </si>
  <si>
    <t>113650.000 . Plumbing</t>
  </si>
  <si>
    <t>113700.000 . Printing and Stationery</t>
  </si>
  <si>
    <t>113750.000 . Swimming Pool</t>
  </si>
  <si>
    <t>113810.000 . Signage</t>
  </si>
  <si>
    <t>113830.000 . Vacuum Cleaners</t>
  </si>
  <si>
    <t>113835.000 . Refrigerators</t>
  </si>
  <si>
    <t>113845.000 . Telephones</t>
  </si>
  <si>
    <t>113860.000 . Irons &amp; Iron boards</t>
  </si>
  <si>
    <t>113910.000 . Uniforms</t>
  </si>
  <si>
    <t>113950.000 . Vehicle Repairs</t>
  </si>
  <si>
    <t>113951.000 . Pest Control</t>
  </si>
  <si>
    <t>Total Property Operations &amp; Maintenance Cost Of Sales</t>
  </si>
  <si>
    <t>Total Property Operations &amp; Maintenance Expenses</t>
  </si>
  <si>
    <t>Utilities Cost Of Sales</t>
  </si>
  <si>
    <t>123005.000 . Electricity</t>
  </si>
  <si>
    <t>123100.000 . Water &amp; Sewer</t>
  </si>
  <si>
    <t>123150.000 . Gas &amp; Oil</t>
  </si>
  <si>
    <t>123155.000 . Other Fuels</t>
  </si>
  <si>
    <t>123160.000 . Waste Removal</t>
  </si>
  <si>
    <t>Total Utilities Cost Of Sales</t>
  </si>
  <si>
    <t>Total Utilities Expenses</t>
  </si>
  <si>
    <t>CAM and Lease Expense Cost Of Sales</t>
  </si>
  <si>
    <t>153000.000 . CAM and Lease Expense</t>
  </si>
  <si>
    <t>153100.000 . Lease - Other Property and Equipment</t>
  </si>
  <si>
    <t>Total CAM and Lease Expense Cost Of Sales</t>
  </si>
  <si>
    <t>Total CAM and Lease Expense Expenses</t>
  </si>
  <si>
    <t>Management Fees Cost Of Sales</t>
  </si>
  <si>
    <t>143025.000 . Incentive Fees</t>
  </si>
  <si>
    <t>143100.000 . Asset Management Fees</t>
  </si>
  <si>
    <t>Total Management Fees Cost Of Sales</t>
  </si>
  <si>
    <t>Total Management Fees Expenses</t>
  </si>
  <si>
    <t>Property &amp; Other Taxes Cost Of Sales</t>
  </si>
  <si>
    <t>153450.000 . Real Estate Taxes</t>
  </si>
  <si>
    <t>153550.000 . Franchise tax</t>
  </si>
  <si>
    <t>Total Property &amp; Other Taxes Cost Of Sales</t>
  </si>
  <si>
    <t>Total Property &amp; Other Taxes Expenses</t>
  </si>
  <si>
    <t>Insurance Cost Of Sales</t>
  </si>
  <si>
    <t>153810.000 . Building Insurance</t>
  </si>
  <si>
    <t>153850.000 . Liability Insurance</t>
  </si>
  <si>
    <t>153851.000 . General Liability Insurance</t>
  </si>
  <si>
    <t>153852.000 . Auto Insurance</t>
  </si>
  <si>
    <t>153854.000 . Claim Handling Fee</t>
  </si>
  <si>
    <t>Total Insurance Cost Of Sales</t>
  </si>
  <si>
    <t>Total Insurance Expenses</t>
  </si>
  <si>
    <t>Other Non-Operating Exp Cost Of Sales</t>
  </si>
  <si>
    <t>41000.000 . Prior Period Expense</t>
  </si>
  <si>
    <t>Total Other Non-Operating Exp Cost Of Sales</t>
  </si>
  <si>
    <t>Total Other Non-Operating Exp Expenses</t>
  </si>
  <si>
    <t>Non-Operating Income Revenue</t>
  </si>
  <si>
    <t>210100.000 . Interest Income</t>
  </si>
  <si>
    <t>210300.000 . Other Non-Recurring Income</t>
  </si>
  <si>
    <t>Total Non-Operating Income Revenue</t>
  </si>
  <si>
    <t>Interest Expense Cost Of Sales</t>
  </si>
  <si>
    <t>153200.000 . Mortgage Interest Expense</t>
  </si>
  <si>
    <t>153210.000 . Interest Expense</t>
  </si>
  <si>
    <t>Total Interest Expense Cost Of Sales</t>
  </si>
  <si>
    <t>Total Interest Expense Expenses</t>
  </si>
  <si>
    <t>Depreciation &amp; Amortization Cost Of Sales</t>
  </si>
  <si>
    <t>154100.000 . Depreciation</t>
  </si>
  <si>
    <t>154200.000 . Amortization Expense</t>
  </si>
  <si>
    <t>Total Depreciation &amp; Amortization Cost Of Sales</t>
  </si>
  <si>
    <t>Total Depreciation &amp; Amortization Expenses</t>
  </si>
  <si>
    <t>Test Hospitality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</si>
</sst>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"/>
    <numFmt numFmtId="165" formatCode="#,##0.00;\-#,##0.00"/>
    <numFmt numFmtId="166" formatCode="#,##0.00%;\-#,##0.00%"/>
  </numFmts>
  <fonts count="4" x14ac:knownFonts="1">
    <font>
      <sz val="11"/>
      <color theme="1"/>
      <name val="Calibri"/>
    </font>
    <font>
      <sz val="8"/>
      <color theme="1"/>
      <name val="Verdana"/>
    </font>
    <font>
      <b/>
      <sz val="9"/>
      <color theme="1"/>
      <name val="Verdana"/>
    </font>
    <font>
      <b/>
      <sz val="8"/>
      <color theme="1"/>
      <name val="Verdan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rgb="FF010101"/>
      </top>
      <bottom style="thin">
        <color rgb="FF010101"/>
      </bottom>
      <diagonal/>
    </border>
    <border>
      <left style="thin">
        <color rgb="FF010101"/>
      </left>
      <right/>
      <top style="thin">
        <color rgb="FF010101"/>
      </top>
      <bottom style="thin">
        <color rgb="FF010101"/>
      </bottom>
      <diagonal/>
    </border>
    <border>
      <left/>
      <right/>
      <top/>
      <bottom style="thin">
        <color rgb="FF010101"/>
      </bottom>
      <diagonal/>
    </border>
    <border>
      <left/>
      <right style="thin">
        <color rgb="FF010101"/>
      </right>
      <top/>
      <bottom style="thin">
        <color rgb="FF010101"/>
      </bottom>
      <diagonal/>
    </border>
    <border>
      <left/>
      <right/>
      <top/>
      <bottom style="double">
        <color rgb="FF01010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Alignment="1">
      <alignment wrapText="1"/>
    </xf>
    <xf numFmtId="164" fontId="3" fillId="0" borderId="0" xfId="0" applyNumberFormat="1" applyFont="1"/>
    <xf numFmtId="165" fontId="3" fillId="0" borderId="0" xfId="0" applyNumberFormat="1" applyFont="1"/>
    <xf numFmtId="165" fontId="1" fillId="0" borderId="0" xfId="0" applyNumberFormat="1" applyFont="1"/>
    <xf numFmtId="0" fontId="3" fillId="0" borderId="3" xfId="0" applyFont="1" applyBorder="1" applyAlignment="1">
      <alignment wrapText="1"/>
    </xf>
    <xf numFmtId="0" fontId="3" fillId="0" borderId="3" xfId="0" applyFont="1" applyBorder="1"/>
    <xf numFmtId="166" fontId="3" fillId="0" borderId="0" xfId="0" applyNumberFormat="1" applyFont="1"/>
    <xf numFmtId="0" fontId="1" fillId="0" borderId="5" xfId="0" applyFont="1" applyBorder="1" applyAlignment="1">
      <alignment wrapText="1"/>
    </xf>
    <xf numFmtId="0" fontId="1" fillId="0" borderId="5" xfId="0" applyFont="1" applyBorder="1"/>
    <xf numFmtId="0" fontId="3" fillId="0" borderId="0" xfId="0" applyFont="1" applyAlignment="1">
      <alignment wrapText="1" indent="1"/>
    </xf>
    <xf numFmtId="0" fontId="1" fillId="0" borderId="0" xfId="0" applyFont="1" applyAlignment="1">
      <alignment wrapText="1" indent="1"/>
    </xf>
    <xf numFmtId="164" fontId="1" fillId="0" borderId="0" xfId="0" applyNumberFormat="1" applyFont="1"/>
    <xf numFmtId="0" fontId="1" fillId="0" borderId="1" xfId="0" applyFont="1" applyBorder="1"/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86"/>
  <sheetViews>
    <sheetView showGridLines="0" tabSelected="1" zoomScaleNormal="100" workbookViewId="0">
      <pane xSplit="1" ySplit="7" topLeftCell="B8" activePane="bottomRight" state="frozen"/>
      <selection pane="topRight"/>
      <selection pane="bottomLeft"/>
      <selection pane="bottomRight" activeCell="D7" sqref="D7"/>
    </sheetView>
  </sheetViews>
  <sheetFormatPr defaultColWidth="0" defaultRowHeight="10.199999999999999" x14ac:dyDescent="0.2"/>
  <cols>
    <col min="1" max="1" width="57.109375" style="1" customWidth="1"/>
    <col min="2" max="13" width="12.109375" style="2" customWidth="1"/>
    <col min="14" max="14" width="18.6640625" style="2" customWidth="1"/>
    <col min="15" max="15" width="0" style="2" hidden="1" customWidth="1"/>
    <col min="16" max="16384" width="0" style="2" hidden="1"/>
  </cols>
  <sheetData>
    <row r="1" spans="1:14" ht="11.4" x14ac:dyDescent="0.2">
      <c r="A1" s="21" t="s">
        <v>650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1.4" x14ac:dyDescent="0.2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1.4" x14ac:dyDescent="0.2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11.4" x14ac:dyDescent="0.2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11.4" x14ac:dyDescent="0.2">
      <c r="A5" s="21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x14ac:dyDescent="0.2">
      <c r="A6" s="3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0" t="s">
        <v>4</v>
      </c>
    </row>
    <row r="7" spans="1:14" ht="15" customHeight="1" x14ac:dyDescent="0.2">
      <c r="A7" s="4"/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6" t="s">
        <v>17</v>
      </c>
    </row>
    <row r="8" spans="1:14" x14ac:dyDescent="0.2">
      <c r="A8" s="7" t="s">
        <v>18</v>
      </c>
    </row>
    <row r="10" spans="1:14" x14ac:dyDescent="0.2">
      <c r="A10" s="7" t="s">
        <v>19</v>
      </c>
      <c r="B10" s="8">
        <f t="shared" ref="B10:N10" si="0">B210+B215+B216+B218</f>
        <v>12028</v>
      </c>
      <c r="C10" s="8">
        <f t="shared" si="0"/>
        <v>11252</v>
      </c>
      <c r="D10" s="8">
        <f t="shared" si="0"/>
        <v>12028</v>
      </c>
      <c r="E10" s="8">
        <f t="shared" si="0"/>
        <v>11640</v>
      </c>
      <c r="F10" s="8">
        <f t="shared" si="0"/>
        <v>12028</v>
      </c>
      <c r="G10" s="8">
        <f t="shared" si="0"/>
        <v>11640</v>
      </c>
      <c r="H10" s="8">
        <f t="shared" si="0"/>
        <v>12028</v>
      </c>
      <c r="I10" s="8">
        <f t="shared" si="0"/>
        <v>12028</v>
      </c>
      <c r="J10" s="8">
        <f t="shared" si="0"/>
        <v>11640</v>
      </c>
      <c r="K10" s="8">
        <f t="shared" si="0"/>
        <v>12028</v>
      </c>
      <c r="L10" s="8">
        <f t="shared" si="0"/>
        <v>11640</v>
      </c>
      <c r="M10" s="8">
        <f t="shared" si="0"/>
        <v>12028</v>
      </c>
      <c r="N10" s="8">
        <f t="shared" si="0"/>
        <v>142008</v>
      </c>
    </row>
    <row r="11" spans="1:14" x14ac:dyDescent="0.2">
      <c r="A11" s="7" t="s">
        <v>20</v>
      </c>
      <c r="B11" s="8">
        <f t="shared" ref="B11:N11" si="1">B210</f>
        <v>5861</v>
      </c>
      <c r="C11" s="8">
        <f t="shared" si="1"/>
        <v>7050</v>
      </c>
      <c r="D11" s="8">
        <f t="shared" si="1"/>
        <v>7282</v>
      </c>
      <c r="E11" s="8">
        <f t="shared" si="1"/>
        <v>6498</v>
      </c>
      <c r="F11" s="8">
        <f t="shared" si="1"/>
        <v>7083</v>
      </c>
      <c r="G11" s="8">
        <f t="shared" si="1"/>
        <v>6032</v>
      </c>
      <c r="H11" s="8">
        <f t="shared" si="1"/>
        <v>8167</v>
      </c>
      <c r="I11" s="8">
        <f t="shared" si="1"/>
        <v>6789</v>
      </c>
      <c r="J11" s="8">
        <f t="shared" si="1"/>
        <v>6005</v>
      </c>
      <c r="K11" s="8">
        <f t="shared" si="1"/>
        <v>5897</v>
      </c>
      <c r="L11" s="8">
        <f t="shared" si="1"/>
        <v>6716</v>
      </c>
      <c r="M11" s="8">
        <f t="shared" si="1"/>
        <v>4919</v>
      </c>
      <c r="N11" s="8">
        <f t="shared" si="1"/>
        <v>78299</v>
      </c>
    </row>
    <row r="12" spans="1:14" x14ac:dyDescent="0.2">
      <c r="A12" s="7" t="s">
        <v>21</v>
      </c>
      <c r="B12" s="9">
        <f t="shared" ref="B12:N12" si="2">ROUND(IF(B10=0,0,(ROUND(B11,0) / ROUND(B10,0))*100),2)</f>
        <v>48.73</v>
      </c>
      <c r="C12" s="9">
        <f t="shared" si="2"/>
        <v>62.66</v>
      </c>
      <c r="D12" s="9">
        <f t="shared" si="2"/>
        <v>60.54</v>
      </c>
      <c r="E12" s="9">
        <f t="shared" si="2"/>
        <v>55.82</v>
      </c>
      <c r="F12" s="9">
        <f t="shared" si="2"/>
        <v>58.89</v>
      </c>
      <c r="G12" s="9">
        <f t="shared" si="2"/>
        <v>51.82</v>
      </c>
      <c r="H12" s="9">
        <f t="shared" si="2"/>
        <v>67.900000000000006</v>
      </c>
      <c r="I12" s="9">
        <f t="shared" si="2"/>
        <v>56.44</v>
      </c>
      <c r="J12" s="9">
        <f t="shared" si="2"/>
        <v>51.59</v>
      </c>
      <c r="K12" s="9">
        <f t="shared" si="2"/>
        <v>49.03</v>
      </c>
      <c r="L12" s="9">
        <f t="shared" si="2"/>
        <v>57.7</v>
      </c>
      <c r="M12" s="9">
        <f t="shared" si="2"/>
        <v>40.9</v>
      </c>
      <c r="N12" s="9">
        <f t="shared" si="2"/>
        <v>55.14</v>
      </c>
    </row>
    <row r="13" spans="1:14" x14ac:dyDescent="0.2">
      <c r="A13" s="7" t="s">
        <v>22</v>
      </c>
      <c r="B13" s="9">
        <v>163.29</v>
      </c>
      <c r="C13" s="9">
        <v>153.36000000000001</v>
      </c>
      <c r="D13" s="9">
        <v>161.57</v>
      </c>
      <c r="E13" s="9">
        <v>159.94999999999999</v>
      </c>
      <c r="F13" s="9">
        <v>153.74</v>
      </c>
      <c r="G13" s="9">
        <v>153.06</v>
      </c>
      <c r="H13" s="9">
        <v>159.34</v>
      </c>
      <c r="I13" s="9">
        <v>139.69</v>
      </c>
      <c r="J13" s="9">
        <v>148.99</v>
      </c>
      <c r="K13" s="9">
        <v>156.38999999999999</v>
      </c>
      <c r="L13" s="9">
        <v>144.28</v>
      </c>
      <c r="M13" s="9">
        <v>122.91</v>
      </c>
      <c r="N13" s="9">
        <v>152.06</v>
      </c>
    </row>
    <row r="14" spans="1:14" x14ac:dyDescent="0.2">
      <c r="A14" s="7" t="s">
        <v>23</v>
      </c>
      <c r="B14" s="9">
        <v>79.569999999999993</v>
      </c>
      <c r="C14" s="9">
        <v>96.09</v>
      </c>
      <c r="D14" s="9">
        <v>97.82</v>
      </c>
      <c r="E14" s="9">
        <v>89.29</v>
      </c>
      <c r="F14" s="9">
        <v>90.53</v>
      </c>
      <c r="G14" s="9">
        <v>79.319999999999993</v>
      </c>
      <c r="H14" s="9">
        <v>108.19</v>
      </c>
      <c r="I14" s="9">
        <v>78.849999999999994</v>
      </c>
      <c r="J14" s="9">
        <v>76.86</v>
      </c>
      <c r="K14" s="9">
        <v>76.67</v>
      </c>
      <c r="L14" s="9">
        <v>83.25</v>
      </c>
      <c r="M14" s="9">
        <v>50.27</v>
      </c>
      <c r="N14" s="9">
        <v>83.84</v>
      </c>
    </row>
    <row r="15" spans="1:14" ht="4.95" customHeight="1" x14ac:dyDescent="0.2"/>
    <row r="16" spans="1:14" x14ac:dyDescent="0.2">
      <c r="A16" s="7" t="s">
        <v>24</v>
      </c>
    </row>
    <row r="17" spans="1:14" x14ac:dyDescent="0.2">
      <c r="A17" s="1" t="s">
        <v>25</v>
      </c>
      <c r="B17" s="10">
        <f t="shared" ref="B17:N17" si="3">B122</f>
        <v>957017.17999999993</v>
      </c>
      <c r="C17" s="10">
        <f t="shared" si="3"/>
        <v>1081186.46</v>
      </c>
      <c r="D17" s="10">
        <f t="shared" si="3"/>
        <v>1176532.3</v>
      </c>
      <c r="E17" s="10">
        <f t="shared" si="3"/>
        <v>1038923.9700000001</v>
      </c>
      <c r="F17" s="10">
        <f t="shared" si="3"/>
        <v>1088711.5199999998</v>
      </c>
      <c r="G17" s="10">
        <f t="shared" si="3"/>
        <v>923223.47</v>
      </c>
      <c r="H17" s="10">
        <f t="shared" si="3"/>
        <v>1301327.4000000001</v>
      </c>
      <c r="I17" s="10">
        <f t="shared" si="3"/>
        <v>948380.45999999985</v>
      </c>
      <c r="J17" s="10">
        <f t="shared" si="3"/>
        <v>894689.61</v>
      </c>
      <c r="K17" s="10">
        <f t="shared" si="3"/>
        <v>922205.75</v>
      </c>
      <c r="L17" s="10">
        <f t="shared" si="3"/>
        <v>968921.14999999991</v>
      </c>
      <c r="M17" s="10">
        <f t="shared" si="3"/>
        <v>604590.32999999996</v>
      </c>
      <c r="N17" s="10">
        <f t="shared" si="3"/>
        <v>11905709.6</v>
      </c>
    </row>
    <row r="18" spans="1:14" x14ac:dyDescent="0.2">
      <c r="A18" s="1" t="s">
        <v>26</v>
      </c>
      <c r="B18" s="10">
        <f t="shared" ref="B18:N18" si="4">B278+B367+B465+B537+B617</f>
        <v>261700.93000000002</v>
      </c>
      <c r="C18" s="10">
        <f t="shared" si="4"/>
        <v>365942.19</v>
      </c>
      <c r="D18" s="10">
        <f t="shared" si="4"/>
        <v>405647.72</v>
      </c>
      <c r="E18" s="10">
        <f t="shared" si="4"/>
        <v>334519.59999999998</v>
      </c>
      <c r="F18" s="10">
        <f t="shared" si="4"/>
        <v>390884.53999999992</v>
      </c>
      <c r="G18" s="10">
        <f t="shared" si="4"/>
        <v>249455.88</v>
      </c>
      <c r="H18" s="10">
        <f t="shared" si="4"/>
        <v>174853.77</v>
      </c>
      <c r="I18" s="10">
        <f t="shared" si="4"/>
        <v>205652.15000000002</v>
      </c>
      <c r="J18" s="10">
        <f t="shared" si="4"/>
        <v>375572.53</v>
      </c>
      <c r="K18" s="10">
        <f t="shared" si="4"/>
        <v>366884.77</v>
      </c>
      <c r="L18" s="10">
        <f t="shared" si="4"/>
        <v>461491.25</v>
      </c>
      <c r="M18" s="10">
        <f t="shared" si="4"/>
        <v>209817.19</v>
      </c>
      <c r="N18" s="10">
        <f t="shared" si="4"/>
        <v>3802422.5200000005</v>
      </c>
    </row>
    <row r="19" spans="1:14" x14ac:dyDescent="0.2">
      <c r="A19" s="1" t="s">
        <v>27</v>
      </c>
      <c r="B19" s="10">
        <f t="shared" ref="B19:N19" si="5">B670+B696</f>
        <v>84681.71</v>
      </c>
      <c r="C19" s="10">
        <f t="shared" si="5"/>
        <v>105719.21999999999</v>
      </c>
      <c r="D19" s="10">
        <f t="shared" si="5"/>
        <v>127422.16</v>
      </c>
      <c r="E19" s="10">
        <f t="shared" si="5"/>
        <v>93991.26</v>
      </c>
      <c r="F19" s="10">
        <f t="shared" si="5"/>
        <v>123977.34999999999</v>
      </c>
      <c r="G19" s="10">
        <f t="shared" si="5"/>
        <v>93456.55</v>
      </c>
      <c r="H19" s="10">
        <f t="shared" si="5"/>
        <v>164225.06</v>
      </c>
      <c r="I19" s="10">
        <f t="shared" si="5"/>
        <v>121035.67</v>
      </c>
      <c r="J19" s="10">
        <f t="shared" si="5"/>
        <v>35180.43</v>
      </c>
      <c r="K19" s="10">
        <f t="shared" si="5"/>
        <v>97580.2</v>
      </c>
      <c r="L19" s="10">
        <f t="shared" si="5"/>
        <v>110160.91</v>
      </c>
      <c r="M19" s="10">
        <f t="shared" si="5"/>
        <v>95210.91</v>
      </c>
      <c r="N19" s="10">
        <f t="shared" si="5"/>
        <v>1252641.43</v>
      </c>
    </row>
    <row r="20" spans="1:14" x14ac:dyDescent="0.2">
      <c r="A20" s="1" t="s">
        <v>28</v>
      </c>
      <c r="B20" s="10">
        <f t="shared" ref="B20:N20" si="6">B737</f>
        <v>-78.690000000000083</v>
      </c>
      <c r="C20" s="10">
        <f t="shared" si="6"/>
        <v>1373.77</v>
      </c>
      <c r="D20" s="10">
        <f t="shared" si="6"/>
        <v>-198.36000000000007</v>
      </c>
      <c r="E20" s="10">
        <f t="shared" si="6"/>
        <v>720.72999999999934</v>
      </c>
      <c r="F20" s="10">
        <f t="shared" si="6"/>
        <v>1581.07</v>
      </c>
      <c r="G20" s="10">
        <f t="shared" si="6"/>
        <v>1038.75</v>
      </c>
      <c r="H20" s="10">
        <f t="shared" si="6"/>
        <v>28371.01</v>
      </c>
      <c r="I20" s="10">
        <f t="shared" si="6"/>
        <v>1356.49</v>
      </c>
      <c r="J20" s="10">
        <f t="shared" si="6"/>
        <v>870.35</v>
      </c>
      <c r="K20" s="10">
        <f t="shared" si="6"/>
        <v>670.98</v>
      </c>
      <c r="L20" s="10">
        <f t="shared" si="6"/>
        <v>1056.19</v>
      </c>
      <c r="M20" s="10">
        <f t="shared" si="6"/>
        <v>73360.990000000005</v>
      </c>
      <c r="N20" s="10">
        <f t="shared" si="6"/>
        <v>110123.28</v>
      </c>
    </row>
    <row r="21" spans="1:14" ht="4.95" customHeight="1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ht="4.95" customHeight="1" x14ac:dyDescent="0.2"/>
    <row r="23" spans="1:14" x14ac:dyDescent="0.2">
      <c r="A23" s="7" t="s">
        <v>29</v>
      </c>
      <c r="B23" s="9">
        <f t="shared" ref="B23:N23" si="7">B17+B18+B19+B20</f>
        <v>1303321.1299999999</v>
      </c>
      <c r="C23" s="9">
        <f t="shared" si="7"/>
        <v>1554221.64</v>
      </c>
      <c r="D23" s="9">
        <f t="shared" si="7"/>
        <v>1709403.8199999998</v>
      </c>
      <c r="E23" s="9">
        <f t="shared" si="7"/>
        <v>1468155.56</v>
      </c>
      <c r="F23" s="9">
        <f t="shared" si="7"/>
        <v>1605154.4799999997</v>
      </c>
      <c r="G23" s="9">
        <f t="shared" si="7"/>
        <v>1267174.6500000001</v>
      </c>
      <c r="H23" s="9">
        <f t="shared" si="7"/>
        <v>1668777.2400000002</v>
      </c>
      <c r="I23" s="9">
        <f t="shared" si="7"/>
        <v>1276424.7699999998</v>
      </c>
      <c r="J23" s="9">
        <f t="shared" si="7"/>
        <v>1306312.9200000002</v>
      </c>
      <c r="K23" s="9">
        <f t="shared" si="7"/>
        <v>1387341.7</v>
      </c>
      <c r="L23" s="9">
        <f t="shared" si="7"/>
        <v>1541629.4999999998</v>
      </c>
      <c r="M23" s="9">
        <f t="shared" si="7"/>
        <v>982979.42</v>
      </c>
      <c r="N23" s="9">
        <f t="shared" si="7"/>
        <v>17070896.830000002</v>
      </c>
    </row>
    <row r="24" spans="1:14" ht="4.95" customHeight="1" x14ac:dyDescent="0.2"/>
    <row r="25" spans="1:14" x14ac:dyDescent="0.2">
      <c r="A25" s="7" t="s">
        <v>30</v>
      </c>
    </row>
    <row r="26" spans="1:14" x14ac:dyDescent="0.2">
      <c r="A26" s="1" t="s">
        <v>25</v>
      </c>
      <c r="B26" s="10">
        <f t="shared" ref="B26:N26" si="8">B190</f>
        <v>206258.68</v>
      </c>
      <c r="C26" s="10">
        <f t="shared" si="8"/>
        <v>218391.68000000002</v>
      </c>
      <c r="D26" s="10">
        <f t="shared" si="8"/>
        <v>239906.65</v>
      </c>
      <c r="E26" s="10">
        <f t="shared" si="8"/>
        <v>195780.24</v>
      </c>
      <c r="F26" s="10">
        <f t="shared" si="8"/>
        <v>202553.53999999998</v>
      </c>
      <c r="G26" s="10">
        <f t="shared" si="8"/>
        <v>198799.69</v>
      </c>
      <c r="H26" s="10">
        <f t="shared" si="8"/>
        <v>217054.37</v>
      </c>
      <c r="I26" s="10">
        <f t="shared" si="8"/>
        <v>211297.09</v>
      </c>
      <c r="J26" s="10">
        <f t="shared" si="8"/>
        <v>186898.43000000002</v>
      </c>
      <c r="K26" s="10">
        <f t="shared" si="8"/>
        <v>177527.22</v>
      </c>
      <c r="L26" s="10">
        <f t="shared" si="8"/>
        <v>189665.43</v>
      </c>
      <c r="M26" s="10">
        <f t="shared" si="8"/>
        <v>167048.21999999997</v>
      </c>
      <c r="N26" s="10">
        <f t="shared" si="8"/>
        <v>2411181.2399999998</v>
      </c>
    </row>
    <row r="27" spans="1:14" x14ac:dyDescent="0.2">
      <c r="A27" s="1" t="s">
        <v>26</v>
      </c>
      <c r="B27" s="10">
        <f t="shared" ref="B27:N27" si="9">B343+B427+B514+B579+B648</f>
        <v>202228.59</v>
      </c>
      <c r="C27" s="10">
        <f t="shared" si="9"/>
        <v>214855.30999999997</v>
      </c>
      <c r="D27" s="10">
        <f t="shared" si="9"/>
        <v>230270.85</v>
      </c>
      <c r="E27" s="10">
        <f t="shared" si="9"/>
        <v>204060.73</v>
      </c>
      <c r="F27" s="10">
        <f t="shared" si="9"/>
        <v>208278.19999999995</v>
      </c>
      <c r="G27" s="10">
        <f t="shared" si="9"/>
        <v>170205.09999999998</v>
      </c>
      <c r="H27" s="10">
        <f t="shared" si="9"/>
        <v>160807.86000000002</v>
      </c>
      <c r="I27" s="10">
        <f t="shared" si="9"/>
        <v>160272.39000000001</v>
      </c>
      <c r="J27" s="10">
        <f t="shared" si="9"/>
        <v>193427.85000000003</v>
      </c>
      <c r="K27" s="10">
        <f t="shared" si="9"/>
        <v>207642.67</v>
      </c>
      <c r="L27" s="10">
        <f t="shared" si="9"/>
        <v>227514.96999999997</v>
      </c>
      <c r="M27" s="10">
        <f t="shared" si="9"/>
        <v>156255.63</v>
      </c>
      <c r="N27" s="10">
        <f t="shared" si="9"/>
        <v>2335820.1500000004</v>
      </c>
    </row>
    <row r="28" spans="1:14" x14ac:dyDescent="0.2">
      <c r="A28" s="1" t="s">
        <v>27</v>
      </c>
      <c r="B28" s="10">
        <f t="shared" ref="B28:N28" si="10">B683+B706</f>
        <v>13495.609999999999</v>
      </c>
      <c r="C28" s="10">
        <f t="shared" si="10"/>
        <v>14935.250000000002</v>
      </c>
      <c r="D28" s="10">
        <f t="shared" si="10"/>
        <v>16674.170000000002</v>
      </c>
      <c r="E28" s="10">
        <f t="shared" si="10"/>
        <v>23313.94</v>
      </c>
      <c r="F28" s="10">
        <f t="shared" si="10"/>
        <v>17998.46</v>
      </c>
      <c r="G28" s="10">
        <f t="shared" si="10"/>
        <v>15593.84</v>
      </c>
      <c r="H28" s="10">
        <f t="shared" si="10"/>
        <v>19515.989999999998</v>
      </c>
      <c r="I28" s="10">
        <f t="shared" si="10"/>
        <v>13362.46</v>
      </c>
      <c r="J28" s="10">
        <f t="shared" si="10"/>
        <v>11638.92</v>
      </c>
      <c r="K28" s="10">
        <f t="shared" si="10"/>
        <v>12844.650000000001</v>
      </c>
      <c r="L28" s="10">
        <f t="shared" si="10"/>
        <v>12175.170000000002</v>
      </c>
      <c r="M28" s="10">
        <f t="shared" si="10"/>
        <v>13956.64</v>
      </c>
      <c r="N28" s="10">
        <f t="shared" si="10"/>
        <v>185505.10000000003</v>
      </c>
    </row>
    <row r="29" spans="1:14" ht="4.95" customHeight="1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ht="4.95" customHeight="1" x14ac:dyDescent="0.2"/>
    <row r="31" spans="1:14" x14ac:dyDescent="0.2">
      <c r="A31" s="7" t="s">
        <v>31</v>
      </c>
      <c r="B31" s="9">
        <f t="shared" ref="B31:N31" si="11">B26+B27+B28</f>
        <v>421982.88</v>
      </c>
      <c r="C31" s="9">
        <f t="shared" si="11"/>
        <v>448182.24</v>
      </c>
      <c r="D31" s="9">
        <f t="shared" si="11"/>
        <v>486851.67</v>
      </c>
      <c r="E31" s="9">
        <f t="shared" si="11"/>
        <v>423154.91</v>
      </c>
      <c r="F31" s="9">
        <f t="shared" si="11"/>
        <v>428830.19999999995</v>
      </c>
      <c r="G31" s="9">
        <f t="shared" si="11"/>
        <v>384598.63</v>
      </c>
      <c r="H31" s="9">
        <f t="shared" si="11"/>
        <v>397378.22</v>
      </c>
      <c r="I31" s="9">
        <f t="shared" si="11"/>
        <v>384931.94</v>
      </c>
      <c r="J31" s="9">
        <f t="shared" si="11"/>
        <v>391965.2</v>
      </c>
      <c r="K31" s="9">
        <f t="shared" si="11"/>
        <v>398014.54000000004</v>
      </c>
      <c r="L31" s="9">
        <f t="shared" si="11"/>
        <v>429355.56999999995</v>
      </c>
      <c r="M31" s="9">
        <f t="shared" si="11"/>
        <v>337260.49</v>
      </c>
      <c r="N31" s="9">
        <f t="shared" si="11"/>
        <v>4932506.49</v>
      </c>
    </row>
    <row r="32" spans="1:14" ht="4.95" customHeight="1" x14ac:dyDescent="0.2"/>
    <row r="33" spans="1:14" x14ac:dyDescent="0.2">
      <c r="A33" s="1" t="s">
        <v>25</v>
      </c>
      <c r="B33" s="10">
        <f t="shared" ref="B33:M33" si="12">B17-B26</f>
        <v>750758.5</v>
      </c>
      <c r="C33" s="10">
        <f t="shared" si="12"/>
        <v>862794.77999999991</v>
      </c>
      <c r="D33" s="10">
        <f t="shared" si="12"/>
        <v>936625.65</v>
      </c>
      <c r="E33" s="10">
        <f t="shared" si="12"/>
        <v>843143.7300000001</v>
      </c>
      <c r="F33" s="10">
        <f t="shared" si="12"/>
        <v>886157.97999999975</v>
      </c>
      <c r="G33" s="10">
        <f t="shared" si="12"/>
        <v>724423.78</v>
      </c>
      <c r="H33" s="10">
        <f t="shared" si="12"/>
        <v>1084273.0300000003</v>
      </c>
      <c r="I33" s="10">
        <f t="shared" si="12"/>
        <v>737083.36999999988</v>
      </c>
      <c r="J33" s="10">
        <f t="shared" si="12"/>
        <v>707791.17999999993</v>
      </c>
      <c r="K33" s="10">
        <f t="shared" si="12"/>
        <v>744678.53</v>
      </c>
      <c r="L33" s="10">
        <f t="shared" si="12"/>
        <v>779255.72</v>
      </c>
      <c r="M33" s="10">
        <f t="shared" si="12"/>
        <v>437542.11</v>
      </c>
      <c r="N33" s="10">
        <f>B33+C33+D33+E33+F33+G33+H33+I33+J33+K33+L33+M33</f>
        <v>9494528.3599999994</v>
      </c>
    </row>
    <row r="34" spans="1:14" x14ac:dyDescent="0.2">
      <c r="A34" s="1" t="s">
        <v>26</v>
      </c>
      <c r="B34" s="10">
        <f t="shared" ref="B34:M34" si="13">B18-B27</f>
        <v>59472.340000000026</v>
      </c>
      <c r="C34" s="10">
        <f t="shared" si="13"/>
        <v>151086.88000000003</v>
      </c>
      <c r="D34" s="10">
        <f t="shared" si="13"/>
        <v>175376.86999999997</v>
      </c>
      <c r="E34" s="10">
        <f t="shared" si="13"/>
        <v>130458.86999999997</v>
      </c>
      <c r="F34" s="10">
        <f t="shared" si="13"/>
        <v>182606.33999999997</v>
      </c>
      <c r="G34" s="10">
        <f t="shared" si="13"/>
        <v>79250.780000000028</v>
      </c>
      <c r="H34" s="10">
        <f t="shared" si="13"/>
        <v>14045.909999999974</v>
      </c>
      <c r="I34" s="10">
        <f t="shared" si="13"/>
        <v>45379.760000000009</v>
      </c>
      <c r="J34" s="10">
        <f t="shared" si="13"/>
        <v>182144.68</v>
      </c>
      <c r="K34" s="10">
        <f t="shared" si="13"/>
        <v>159242.1</v>
      </c>
      <c r="L34" s="10">
        <f t="shared" si="13"/>
        <v>233976.28000000003</v>
      </c>
      <c r="M34" s="10">
        <f t="shared" si="13"/>
        <v>53561.56</v>
      </c>
      <c r="N34" s="10">
        <f>B34+C34+D34+E34+F34+G34+H34+I34+J34+K34+L34+M34</f>
        <v>1466602.37</v>
      </c>
    </row>
    <row r="35" spans="1:14" x14ac:dyDescent="0.2">
      <c r="A35" s="1" t="s">
        <v>27</v>
      </c>
      <c r="B35" s="10">
        <f t="shared" ref="B35:M35" si="14">B19-B28</f>
        <v>71186.100000000006</v>
      </c>
      <c r="C35" s="10">
        <f t="shared" si="14"/>
        <v>90783.969999999987</v>
      </c>
      <c r="D35" s="10">
        <f t="shared" si="14"/>
        <v>110747.99</v>
      </c>
      <c r="E35" s="10">
        <f t="shared" si="14"/>
        <v>70677.319999999992</v>
      </c>
      <c r="F35" s="10">
        <f t="shared" si="14"/>
        <v>105978.88999999998</v>
      </c>
      <c r="G35" s="10">
        <f t="shared" si="14"/>
        <v>77862.710000000006</v>
      </c>
      <c r="H35" s="10">
        <f t="shared" si="14"/>
        <v>144709.07</v>
      </c>
      <c r="I35" s="10">
        <f t="shared" si="14"/>
        <v>107673.20999999999</v>
      </c>
      <c r="J35" s="10">
        <f t="shared" si="14"/>
        <v>23541.510000000002</v>
      </c>
      <c r="K35" s="10">
        <f t="shared" si="14"/>
        <v>84735.549999999988</v>
      </c>
      <c r="L35" s="10">
        <f t="shared" si="14"/>
        <v>97985.74</v>
      </c>
      <c r="M35" s="10">
        <f t="shared" si="14"/>
        <v>81254.27</v>
      </c>
      <c r="N35" s="10">
        <f>B35+C35+D35+E35+F35+G35+H35+I35+J35+K35+L35+M35</f>
        <v>1067136.33</v>
      </c>
    </row>
    <row r="36" spans="1:14" x14ac:dyDescent="0.2">
      <c r="A36" s="1" t="s">
        <v>28</v>
      </c>
      <c r="B36" s="10">
        <v>-78.69</v>
      </c>
      <c r="C36" s="10">
        <v>1373.77</v>
      </c>
      <c r="D36" s="10">
        <v>-198.36</v>
      </c>
      <c r="E36" s="10">
        <v>720.73</v>
      </c>
      <c r="F36" s="10">
        <v>1581.07</v>
      </c>
      <c r="G36" s="10">
        <v>1038.75</v>
      </c>
      <c r="H36" s="10">
        <v>28371.01</v>
      </c>
      <c r="I36" s="10">
        <v>1356.49</v>
      </c>
      <c r="J36" s="10">
        <v>870.35</v>
      </c>
      <c r="K36" s="10">
        <v>670.98</v>
      </c>
      <c r="L36" s="10">
        <v>1056.19</v>
      </c>
      <c r="M36" s="10">
        <v>73360.990000000005</v>
      </c>
      <c r="N36" s="10">
        <f>B36+C36+D36+E36+F36+G36+H36+I36+J36+K36+L36+M36</f>
        <v>110123.28</v>
      </c>
    </row>
    <row r="37" spans="1:14" x14ac:dyDescent="0.2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4.95" customHeight="1" x14ac:dyDescent="0.2"/>
    <row r="39" spans="1:14" x14ac:dyDescent="0.2">
      <c r="A39" s="7" t="s">
        <v>32</v>
      </c>
      <c r="B39" s="9">
        <f t="shared" ref="B39:N39" si="15">B33+B34+B35+B36</f>
        <v>881338.25000000012</v>
      </c>
      <c r="C39" s="9">
        <f t="shared" si="15"/>
        <v>1106039.3999999999</v>
      </c>
      <c r="D39" s="9">
        <f t="shared" si="15"/>
        <v>1222552.1499999999</v>
      </c>
      <c r="E39" s="9">
        <f t="shared" si="15"/>
        <v>1045000.65</v>
      </c>
      <c r="F39" s="9">
        <f t="shared" si="15"/>
        <v>1176324.2799999998</v>
      </c>
      <c r="G39" s="9">
        <f t="shared" si="15"/>
        <v>882576.02</v>
      </c>
      <c r="H39" s="9">
        <f t="shared" si="15"/>
        <v>1271399.0200000003</v>
      </c>
      <c r="I39" s="9">
        <f t="shared" si="15"/>
        <v>891492.82999999984</v>
      </c>
      <c r="J39" s="9">
        <f t="shared" si="15"/>
        <v>914347.71999999986</v>
      </c>
      <c r="K39" s="9">
        <f t="shared" si="15"/>
        <v>989327.15999999992</v>
      </c>
      <c r="L39" s="9">
        <f t="shared" si="15"/>
        <v>1112273.93</v>
      </c>
      <c r="M39" s="9">
        <f t="shared" si="15"/>
        <v>645718.92999999993</v>
      </c>
      <c r="N39" s="9">
        <f t="shared" si="15"/>
        <v>12138390.34</v>
      </c>
    </row>
    <row r="40" spans="1:14" ht="4.95" customHeight="1" x14ac:dyDescent="0.2"/>
    <row r="41" spans="1:14" x14ac:dyDescent="0.2">
      <c r="A41" s="7" t="s">
        <v>33</v>
      </c>
    </row>
    <row r="42" spans="1:14" x14ac:dyDescent="0.2">
      <c r="A42" s="1" t="s">
        <v>34</v>
      </c>
      <c r="B42" s="10">
        <f t="shared" ref="B42:N42" si="16">B802</f>
        <v>91579.14</v>
      </c>
      <c r="C42" s="10">
        <f t="shared" si="16"/>
        <v>86208.09</v>
      </c>
      <c r="D42" s="10">
        <f t="shared" si="16"/>
        <v>111243.41</v>
      </c>
      <c r="E42" s="10">
        <f t="shared" si="16"/>
        <v>89942.1</v>
      </c>
      <c r="F42" s="10">
        <f t="shared" si="16"/>
        <v>86580.890000000014</v>
      </c>
      <c r="G42" s="10">
        <f t="shared" si="16"/>
        <v>71909.209999999992</v>
      </c>
      <c r="H42" s="10">
        <f t="shared" si="16"/>
        <v>87382.32</v>
      </c>
      <c r="I42" s="10">
        <f t="shared" si="16"/>
        <v>82349.240000000005</v>
      </c>
      <c r="J42" s="10">
        <f t="shared" si="16"/>
        <v>84015.88</v>
      </c>
      <c r="K42" s="10">
        <f t="shared" si="16"/>
        <v>86347.82</v>
      </c>
      <c r="L42" s="10">
        <f t="shared" si="16"/>
        <v>93972.62</v>
      </c>
      <c r="M42" s="10">
        <f t="shared" si="16"/>
        <v>70082.49000000002</v>
      </c>
      <c r="N42" s="10">
        <f t="shared" si="16"/>
        <v>1041613.2099999998</v>
      </c>
    </row>
    <row r="43" spans="1:14" x14ac:dyDescent="0.2">
      <c r="A43" s="1" t="s">
        <v>35</v>
      </c>
      <c r="B43" s="10">
        <f t="shared" ref="B43:N43" si="17">B834</f>
        <v>11092.53</v>
      </c>
      <c r="C43" s="10">
        <f t="shared" si="17"/>
        <v>10445.67</v>
      </c>
      <c r="D43" s="10">
        <f t="shared" si="17"/>
        <v>10451.34</v>
      </c>
      <c r="E43" s="10">
        <f t="shared" si="17"/>
        <v>10449.11</v>
      </c>
      <c r="F43" s="10">
        <f t="shared" si="17"/>
        <v>8751.76</v>
      </c>
      <c r="G43" s="10">
        <f t="shared" si="17"/>
        <v>10721.99</v>
      </c>
      <c r="H43" s="10">
        <f t="shared" si="17"/>
        <v>10082.86</v>
      </c>
      <c r="I43" s="10">
        <f t="shared" si="17"/>
        <v>10086.119999999999</v>
      </c>
      <c r="J43" s="10">
        <f t="shared" si="17"/>
        <v>10005.89</v>
      </c>
      <c r="K43" s="10">
        <f t="shared" si="17"/>
        <v>21957.99</v>
      </c>
      <c r="L43" s="10">
        <f t="shared" si="17"/>
        <v>10388.24</v>
      </c>
      <c r="M43" s="10">
        <f t="shared" si="17"/>
        <v>5557.49</v>
      </c>
      <c r="N43" s="10">
        <f t="shared" si="17"/>
        <v>129990.98999999999</v>
      </c>
    </row>
    <row r="44" spans="1:14" x14ac:dyDescent="0.2">
      <c r="A44" s="1" t="s">
        <v>36</v>
      </c>
      <c r="B44" s="10">
        <f t="shared" ref="B44:N44" si="18">B882</f>
        <v>41331.99</v>
      </c>
      <c r="C44" s="10">
        <f t="shared" si="18"/>
        <v>45993.130000000005</v>
      </c>
      <c r="D44" s="10">
        <f t="shared" si="18"/>
        <v>54409.86</v>
      </c>
      <c r="E44" s="10">
        <f t="shared" si="18"/>
        <v>44432.28</v>
      </c>
      <c r="F44" s="10">
        <f t="shared" si="18"/>
        <v>57097.860000000008</v>
      </c>
      <c r="G44" s="10">
        <f t="shared" si="18"/>
        <v>43268.25</v>
      </c>
      <c r="H44" s="10">
        <f t="shared" si="18"/>
        <v>47016.54</v>
      </c>
      <c r="I44" s="10">
        <f t="shared" si="18"/>
        <v>42951.19</v>
      </c>
      <c r="J44" s="10">
        <f t="shared" si="18"/>
        <v>52825.570000000007</v>
      </c>
      <c r="K44" s="10">
        <f t="shared" si="18"/>
        <v>52806.81</v>
      </c>
      <c r="L44" s="10">
        <f t="shared" si="18"/>
        <v>45138.39</v>
      </c>
      <c r="M44" s="10">
        <f t="shared" si="18"/>
        <v>33388.239999999998</v>
      </c>
      <c r="N44" s="10">
        <f t="shared" si="18"/>
        <v>560660.11</v>
      </c>
    </row>
    <row r="45" spans="1:14" x14ac:dyDescent="0.2">
      <c r="A45" s="1" t="s">
        <v>37</v>
      </c>
      <c r="B45" s="10">
        <f t="shared" ref="B45:N45" si="19">B896</f>
        <v>149414.28</v>
      </c>
      <c r="C45" s="10">
        <f t="shared" si="19"/>
        <v>162130.78</v>
      </c>
      <c r="D45" s="10">
        <f t="shared" si="19"/>
        <v>193924.72</v>
      </c>
      <c r="E45" s="10">
        <f t="shared" si="19"/>
        <v>165211.96</v>
      </c>
      <c r="F45" s="10">
        <f t="shared" si="19"/>
        <v>172271.16999999998</v>
      </c>
      <c r="G45" s="10">
        <f t="shared" si="19"/>
        <v>144321.48000000001</v>
      </c>
      <c r="H45" s="10">
        <f t="shared" si="19"/>
        <v>186014.63999999998</v>
      </c>
      <c r="I45" s="10">
        <f t="shared" si="19"/>
        <v>142331.94</v>
      </c>
      <c r="J45" s="10">
        <f t="shared" si="19"/>
        <v>135970.81</v>
      </c>
      <c r="K45" s="10">
        <f t="shared" si="19"/>
        <v>144899.91</v>
      </c>
      <c r="L45" s="10">
        <f t="shared" si="19"/>
        <v>153348.13</v>
      </c>
      <c r="M45" s="10">
        <f t="shared" si="19"/>
        <v>101149.20999999999</v>
      </c>
      <c r="N45" s="10">
        <f t="shared" si="19"/>
        <v>1850989.03</v>
      </c>
    </row>
    <row r="46" spans="1:14" x14ac:dyDescent="0.2">
      <c r="A46" s="1" t="s">
        <v>38</v>
      </c>
      <c r="B46" s="10">
        <f t="shared" ref="B46:N46" si="20">B962</f>
        <v>80063.819999999978</v>
      </c>
      <c r="C46" s="10">
        <f t="shared" si="20"/>
        <v>81577.63</v>
      </c>
      <c r="D46" s="10">
        <f t="shared" si="20"/>
        <v>101979.19</v>
      </c>
      <c r="E46" s="10">
        <f t="shared" si="20"/>
        <v>78884.850000000006</v>
      </c>
      <c r="F46" s="10">
        <f t="shared" si="20"/>
        <v>62723.189999999995</v>
      </c>
      <c r="G46" s="10">
        <f t="shared" si="20"/>
        <v>73548.47</v>
      </c>
      <c r="H46" s="10">
        <f t="shared" si="20"/>
        <v>75734.150000000009</v>
      </c>
      <c r="I46" s="10">
        <f t="shared" si="20"/>
        <v>74759.06</v>
      </c>
      <c r="J46" s="10">
        <f t="shared" si="20"/>
        <v>64602.61</v>
      </c>
      <c r="K46" s="10">
        <f t="shared" si="20"/>
        <v>72328.98000000001</v>
      </c>
      <c r="L46" s="10">
        <f t="shared" si="20"/>
        <v>66993.320000000007</v>
      </c>
      <c r="M46" s="10">
        <f t="shared" si="20"/>
        <v>64873.289999999994</v>
      </c>
      <c r="N46" s="10">
        <f t="shared" si="20"/>
        <v>898068.55999999994</v>
      </c>
    </row>
    <row r="47" spans="1:14" x14ac:dyDescent="0.2">
      <c r="A47" s="1" t="s">
        <v>39</v>
      </c>
      <c r="B47" s="10">
        <f t="shared" ref="B47:N47" si="21">B977</f>
        <v>84348.63</v>
      </c>
      <c r="C47" s="10">
        <f t="shared" si="21"/>
        <v>90126.50999999998</v>
      </c>
      <c r="D47" s="10">
        <f t="shared" si="21"/>
        <v>97906.25</v>
      </c>
      <c r="E47" s="10">
        <f t="shared" si="21"/>
        <v>100375.45000000001</v>
      </c>
      <c r="F47" s="10">
        <f t="shared" si="21"/>
        <v>123509.63</v>
      </c>
      <c r="G47" s="10">
        <f t="shared" si="21"/>
        <v>150686.84000000003</v>
      </c>
      <c r="H47" s="10">
        <f t="shared" si="21"/>
        <v>165720.91</v>
      </c>
      <c r="I47" s="10">
        <f t="shared" si="21"/>
        <v>152799.57999999999</v>
      </c>
      <c r="J47" s="10">
        <f t="shared" si="21"/>
        <v>152729.35</v>
      </c>
      <c r="K47" s="10">
        <f t="shared" si="21"/>
        <v>140654.94</v>
      </c>
      <c r="L47" s="10">
        <f t="shared" si="21"/>
        <v>126859.86</v>
      </c>
      <c r="M47" s="10">
        <f t="shared" si="21"/>
        <v>92867.13</v>
      </c>
      <c r="N47" s="10">
        <f t="shared" si="21"/>
        <v>1478585.08</v>
      </c>
    </row>
    <row r="48" spans="1:14" ht="4.95" customHeight="1" x14ac:dyDescent="0.2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ht="4.95" customHeight="1" x14ac:dyDescent="0.2"/>
    <row r="50" spans="1:14" x14ac:dyDescent="0.2">
      <c r="A50" s="7" t="s">
        <v>40</v>
      </c>
      <c r="B50" s="9">
        <f t="shared" ref="B50:N50" si="22">SUM(B42:B47)</f>
        <v>457830.39</v>
      </c>
      <c r="C50" s="9">
        <f t="shared" si="22"/>
        <v>476481.81000000006</v>
      </c>
      <c r="D50" s="9">
        <f t="shared" si="22"/>
        <v>569914.77</v>
      </c>
      <c r="E50" s="9">
        <f t="shared" si="22"/>
        <v>489295.74999999994</v>
      </c>
      <c r="F50" s="9">
        <f t="shared" si="22"/>
        <v>510934.5</v>
      </c>
      <c r="G50" s="9">
        <f t="shared" si="22"/>
        <v>494456.24000000005</v>
      </c>
      <c r="H50" s="9">
        <f t="shared" si="22"/>
        <v>571951.42000000004</v>
      </c>
      <c r="I50" s="9">
        <f t="shared" si="22"/>
        <v>505277.13</v>
      </c>
      <c r="J50" s="9">
        <f t="shared" si="22"/>
        <v>500150.11</v>
      </c>
      <c r="K50" s="9">
        <f t="shared" si="22"/>
        <v>518996.45</v>
      </c>
      <c r="L50" s="9">
        <f t="shared" si="22"/>
        <v>496700.56</v>
      </c>
      <c r="M50" s="9">
        <f t="shared" si="22"/>
        <v>367917.85000000003</v>
      </c>
      <c r="N50" s="9">
        <f t="shared" si="22"/>
        <v>5959906.9799999995</v>
      </c>
    </row>
    <row r="51" spans="1:14" ht="4.95" customHeight="1" x14ac:dyDescent="0.2"/>
    <row r="52" spans="1:14" x14ac:dyDescent="0.2">
      <c r="A52" s="7" t="s">
        <v>41</v>
      </c>
      <c r="B52" s="9">
        <f t="shared" ref="B52:N52" si="23">B39-B50</f>
        <v>423507.8600000001</v>
      </c>
      <c r="C52" s="9">
        <f t="shared" si="23"/>
        <v>629557.58999999985</v>
      </c>
      <c r="D52" s="9">
        <f t="shared" si="23"/>
        <v>652637.37999999989</v>
      </c>
      <c r="E52" s="9">
        <f t="shared" si="23"/>
        <v>555704.90000000014</v>
      </c>
      <c r="F52" s="9">
        <f t="shared" si="23"/>
        <v>665389.7799999998</v>
      </c>
      <c r="G52" s="9">
        <f t="shared" si="23"/>
        <v>388119.77999999997</v>
      </c>
      <c r="H52" s="9">
        <f t="shared" si="23"/>
        <v>699447.60000000021</v>
      </c>
      <c r="I52" s="9">
        <f t="shared" si="23"/>
        <v>386215.69999999984</v>
      </c>
      <c r="J52" s="9">
        <f t="shared" si="23"/>
        <v>414197.60999999987</v>
      </c>
      <c r="K52" s="9">
        <f t="shared" si="23"/>
        <v>470330.7099999999</v>
      </c>
      <c r="L52" s="9">
        <f t="shared" si="23"/>
        <v>615573.36999999988</v>
      </c>
      <c r="M52" s="9">
        <f t="shared" si="23"/>
        <v>277801.0799999999</v>
      </c>
      <c r="N52" s="9">
        <f t="shared" si="23"/>
        <v>6178483.3600000003</v>
      </c>
    </row>
    <row r="53" spans="1:14" ht="4.95" customHeight="1" x14ac:dyDescent="0.2"/>
    <row r="54" spans="1:14" x14ac:dyDescent="0.2">
      <c r="A54" s="7" t="s">
        <v>42</v>
      </c>
      <c r="B54" s="13">
        <f t="shared" ref="B54:N54" si="24">IF((B23+B1)=0,0,B52/(B23+B1))</f>
        <v>0.32494513458858765</v>
      </c>
      <c r="C54" s="13">
        <f t="shared" si="24"/>
        <v>0.40506294198811948</v>
      </c>
      <c r="D54" s="13">
        <f t="shared" si="24"/>
        <v>0.38179239590092873</v>
      </c>
      <c r="E54" s="13">
        <f t="shared" si="24"/>
        <v>0.37850546300420651</v>
      </c>
      <c r="F54" s="13">
        <f t="shared" si="24"/>
        <v>0.41453317315601917</v>
      </c>
      <c r="G54" s="13">
        <f t="shared" si="24"/>
        <v>0.3062875192460644</v>
      </c>
      <c r="H54" s="13">
        <f t="shared" si="24"/>
        <v>0.41913778737778096</v>
      </c>
      <c r="I54" s="13">
        <f t="shared" si="24"/>
        <v>0.30257615574163443</v>
      </c>
      <c r="J54" s="13">
        <f t="shared" si="24"/>
        <v>0.31707380648122185</v>
      </c>
      <c r="K54" s="13">
        <f t="shared" si="24"/>
        <v>0.33901576662764477</v>
      </c>
      <c r="L54" s="13">
        <f t="shared" si="24"/>
        <v>0.39930046097327532</v>
      </c>
      <c r="M54" s="13">
        <f t="shared" si="24"/>
        <v>0.28261128803693558</v>
      </c>
      <c r="N54" s="13">
        <f t="shared" si="24"/>
        <v>0.36193080079671475</v>
      </c>
    </row>
    <row r="55" spans="1:14" ht="4.95" customHeight="1" x14ac:dyDescent="0.2"/>
    <row r="56" spans="1:14" x14ac:dyDescent="0.2">
      <c r="A56" s="7" t="s">
        <v>43</v>
      </c>
    </row>
    <row r="57" spans="1:14" x14ac:dyDescent="0.2">
      <c r="A57" s="1" t="s">
        <v>44</v>
      </c>
      <c r="B57" s="10">
        <f t="shared" ref="B57:N57" si="25">B997</f>
        <v>1559.1999999999998</v>
      </c>
      <c r="C57" s="10">
        <f t="shared" si="25"/>
        <v>1194.72</v>
      </c>
      <c r="D57" s="10">
        <f t="shared" si="25"/>
        <v>22767.31</v>
      </c>
      <c r="E57" s="10">
        <f t="shared" si="25"/>
        <v>-4885.2</v>
      </c>
      <c r="F57" s="10">
        <f t="shared" si="25"/>
        <v>1194.72</v>
      </c>
      <c r="G57" s="10">
        <f t="shared" si="25"/>
        <v>36472.410000000003</v>
      </c>
      <c r="H57" s="10">
        <f t="shared" si="25"/>
        <v>-14858.13</v>
      </c>
      <c r="I57" s="10">
        <f t="shared" si="25"/>
        <v>1194.72</v>
      </c>
      <c r="J57" s="10">
        <f t="shared" si="25"/>
        <v>20194.73</v>
      </c>
      <c r="K57" s="10">
        <f t="shared" si="25"/>
        <v>275.38999999999993</v>
      </c>
      <c r="L57" s="10">
        <f t="shared" si="25"/>
        <v>1602.3899999999999</v>
      </c>
      <c r="M57" s="10">
        <f t="shared" si="25"/>
        <v>85253.62999999999</v>
      </c>
      <c r="N57" s="10">
        <f t="shared" si="25"/>
        <v>151965.88999999998</v>
      </c>
    </row>
    <row r="58" spans="1:14" x14ac:dyDescent="0.2">
      <c r="A58" s="1" t="s">
        <v>43</v>
      </c>
      <c r="B58" s="10">
        <f t="shared" ref="B58:N58" si="26">B1009</f>
        <v>38491.730000000003</v>
      </c>
      <c r="C58" s="10">
        <f t="shared" si="26"/>
        <v>45875.37</v>
      </c>
      <c r="D58" s="10">
        <f t="shared" si="26"/>
        <v>51315.18</v>
      </c>
      <c r="E58" s="10">
        <f t="shared" si="26"/>
        <v>43923.29</v>
      </c>
      <c r="F58" s="10">
        <f t="shared" si="26"/>
        <v>47908.12</v>
      </c>
      <c r="G58" s="10">
        <f t="shared" si="26"/>
        <v>38061.279999999999</v>
      </c>
      <c r="H58" s="10">
        <f t="shared" si="26"/>
        <v>50053.64</v>
      </c>
      <c r="I58" s="10">
        <f t="shared" si="26"/>
        <v>38344.129999999997</v>
      </c>
      <c r="J58" s="10">
        <f t="shared" si="26"/>
        <v>39052.85</v>
      </c>
      <c r="K58" s="10">
        <f t="shared" si="26"/>
        <v>42533.87</v>
      </c>
      <c r="L58" s="10">
        <f t="shared" si="26"/>
        <v>46963.12</v>
      </c>
      <c r="M58" s="10">
        <f t="shared" si="26"/>
        <v>30522.02</v>
      </c>
      <c r="N58" s="10">
        <f t="shared" si="26"/>
        <v>513044.6</v>
      </c>
    </row>
    <row r="59" spans="1:14" ht="4.95" customHeight="1" x14ac:dyDescent="0.2"/>
    <row r="60" spans="1:14" x14ac:dyDescent="0.2">
      <c r="A60" s="7" t="s">
        <v>45</v>
      </c>
      <c r="B60" s="9">
        <f t="shared" ref="B60:N60" si="27">SUM(B57:B58)</f>
        <v>40050.93</v>
      </c>
      <c r="C60" s="9">
        <f t="shared" si="27"/>
        <v>47070.090000000004</v>
      </c>
      <c r="D60" s="9">
        <f t="shared" si="27"/>
        <v>74082.490000000005</v>
      </c>
      <c r="E60" s="9">
        <f t="shared" si="27"/>
        <v>39038.090000000004</v>
      </c>
      <c r="F60" s="9">
        <f t="shared" si="27"/>
        <v>49102.840000000004</v>
      </c>
      <c r="G60" s="9">
        <f t="shared" si="27"/>
        <v>74533.69</v>
      </c>
      <c r="H60" s="9">
        <f t="shared" si="27"/>
        <v>35195.51</v>
      </c>
      <c r="I60" s="9">
        <f t="shared" si="27"/>
        <v>39538.85</v>
      </c>
      <c r="J60" s="9">
        <f t="shared" si="27"/>
        <v>59247.58</v>
      </c>
      <c r="K60" s="9">
        <f t="shared" si="27"/>
        <v>42809.26</v>
      </c>
      <c r="L60" s="9">
        <f t="shared" si="27"/>
        <v>48565.51</v>
      </c>
      <c r="M60" s="9">
        <f t="shared" si="27"/>
        <v>115775.65</v>
      </c>
      <c r="N60" s="9">
        <f t="shared" si="27"/>
        <v>665010.49</v>
      </c>
    </row>
    <row r="61" spans="1:14" ht="4.95" customHeight="1" x14ac:dyDescent="0.2"/>
    <row r="62" spans="1:14" x14ac:dyDescent="0.2">
      <c r="A62" s="7" t="s">
        <v>46</v>
      </c>
      <c r="B62" s="9">
        <f t="shared" ref="B62:N62" si="28">B52-B57-B58</f>
        <v>383456.93000000011</v>
      </c>
      <c r="C62" s="9">
        <f t="shared" si="28"/>
        <v>582487.49999999988</v>
      </c>
      <c r="D62" s="9">
        <f t="shared" si="28"/>
        <v>578554.88999999978</v>
      </c>
      <c r="E62" s="9">
        <f t="shared" si="28"/>
        <v>516666.81000000011</v>
      </c>
      <c r="F62" s="9">
        <f t="shared" si="28"/>
        <v>616286.93999999983</v>
      </c>
      <c r="G62" s="9">
        <f t="shared" si="28"/>
        <v>313586.08999999997</v>
      </c>
      <c r="H62" s="9">
        <f t="shared" si="28"/>
        <v>664252.0900000002</v>
      </c>
      <c r="I62" s="9">
        <f t="shared" si="28"/>
        <v>346676.84999999986</v>
      </c>
      <c r="J62" s="9">
        <f t="shared" si="28"/>
        <v>354950.02999999991</v>
      </c>
      <c r="K62" s="9">
        <f t="shared" si="28"/>
        <v>427521.4499999999</v>
      </c>
      <c r="L62" s="9">
        <f t="shared" si="28"/>
        <v>567007.85999999987</v>
      </c>
      <c r="M62" s="9">
        <f t="shared" si="28"/>
        <v>162025.42999999991</v>
      </c>
      <c r="N62" s="9">
        <f t="shared" si="28"/>
        <v>5513472.870000001</v>
      </c>
    </row>
    <row r="63" spans="1:14" ht="4.95" customHeight="1" x14ac:dyDescent="0.2"/>
    <row r="64" spans="1:14" x14ac:dyDescent="0.2">
      <c r="A64" s="7" t="s">
        <v>47</v>
      </c>
    </row>
    <row r="65" spans="1:14" x14ac:dyDescent="0.2">
      <c r="A65" s="1" t="s">
        <v>48</v>
      </c>
      <c r="B65" s="10">
        <f t="shared" ref="B65:N65" si="29">B1021</f>
        <v>46047.5</v>
      </c>
      <c r="C65" s="10">
        <f t="shared" si="29"/>
        <v>46047.5</v>
      </c>
      <c r="D65" s="10">
        <f t="shared" si="29"/>
        <v>46047.5</v>
      </c>
      <c r="E65" s="10">
        <f t="shared" si="29"/>
        <v>46047.5</v>
      </c>
      <c r="F65" s="10">
        <f t="shared" si="29"/>
        <v>46047.5</v>
      </c>
      <c r="G65" s="10">
        <f t="shared" si="29"/>
        <v>46047.5</v>
      </c>
      <c r="H65" s="10">
        <f t="shared" si="29"/>
        <v>46047.5</v>
      </c>
      <c r="I65" s="10">
        <f t="shared" si="29"/>
        <v>46047.5</v>
      </c>
      <c r="J65" s="10">
        <f t="shared" si="29"/>
        <v>46047.5</v>
      </c>
      <c r="K65" s="10">
        <f t="shared" si="29"/>
        <v>46047.5</v>
      </c>
      <c r="L65" s="10">
        <f t="shared" si="29"/>
        <v>63851.6</v>
      </c>
      <c r="M65" s="10">
        <f t="shared" si="29"/>
        <v>64275.4</v>
      </c>
      <c r="N65" s="10">
        <f t="shared" si="29"/>
        <v>588602</v>
      </c>
    </row>
    <row r="66" spans="1:14" x14ac:dyDescent="0.2">
      <c r="A66" s="1" t="s">
        <v>49</v>
      </c>
      <c r="B66" s="10">
        <f t="shared" ref="B66:N66" si="30">B1036</f>
        <v>19046.199999999997</v>
      </c>
      <c r="C66" s="10">
        <f t="shared" si="30"/>
        <v>20988.6</v>
      </c>
      <c r="D66" s="10">
        <f t="shared" si="30"/>
        <v>25138.019999999997</v>
      </c>
      <c r="E66" s="10">
        <f t="shared" si="30"/>
        <v>20988.6</v>
      </c>
      <c r="F66" s="10">
        <f t="shared" si="30"/>
        <v>23366.62</v>
      </c>
      <c r="G66" s="10">
        <f t="shared" si="30"/>
        <v>20988.6</v>
      </c>
      <c r="H66" s="10">
        <f t="shared" si="30"/>
        <v>24512.829999999998</v>
      </c>
      <c r="I66" s="10">
        <f t="shared" si="30"/>
        <v>22221.379999999997</v>
      </c>
      <c r="J66" s="10">
        <f t="shared" si="30"/>
        <v>20279.019999999997</v>
      </c>
      <c r="K66" s="10">
        <f t="shared" si="30"/>
        <v>21269.239999999998</v>
      </c>
      <c r="L66" s="10">
        <f t="shared" si="30"/>
        <v>20408.400000000001</v>
      </c>
      <c r="M66" s="10">
        <f t="shared" si="30"/>
        <v>20246.900000000001</v>
      </c>
      <c r="N66" s="10">
        <f t="shared" si="30"/>
        <v>259454.41000000006</v>
      </c>
    </row>
    <row r="67" spans="1:14" x14ac:dyDescent="0.2">
      <c r="A67" s="1" t="s">
        <v>50</v>
      </c>
      <c r="B67" s="10">
        <f t="shared" ref="B67:N67" si="31">B1047</f>
        <v>-675.77</v>
      </c>
      <c r="C67" s="10">
        <f t="shared" si="31"/>
        <v>0</v>
      </c>
      <c r="D67" s="10">
        <f t="shared" si="31"/>
        <v>-68482.64</v>
      </c>
      <c r="E67" s="10">
        <f t="shared" si="31"/>
        <v>0</v>
      </c>
      <c r="F67" s="10">
        <f t="shared" si="31"/>
        <v>0</v>
      </c>
      <c r="G67" s="10">
        <f t="shared" si="31"/>
        <v>0</v>
      </c>
      <c r="H67" s="10">
        <f t="shared" si="31"/>
        <v>0</v>
      </c>
      <c r="I67" s="10">
        <f t="shared" si="31"/>
        <v>0</v>
      </c>
      <c r="J67" s="10">
        <f t="shared" si="31"/>
        <v>-0.01</v>
      </c>
      <c r="K67" s="10">
        <f t="shared" si="31"/>
        <v>0</v>
      </c>
      <c r="L67" s="10">
        <f t="shared" si="31"/>
        <v>0</v>
      </c>
      <c r="M67" s="10">
        <f t="shared" si="31"/>
        <v>-8727.84</v>
      </c>
      <c r="N67" s="10">
        <f t="shared" si="31"/>
        <v>-77886.259999999995</v>
      </c>
    </row>
    <row r="68" spans="1:14" ht="4.95" customHeight="1" x14ac:dyDescent="0.2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 ht="4.95" customHeight="1" x14ac:dyDescent="0.2"/>
    <row r="70" spans="1:14" x14ac:dyDescent="0.2">
      <c r="A70" s="7" t="s">
        <v>51</v>
      </c>
      <c r="B70" s="9">
        <f t="shared" ref="B70:N70" si="32">SUM(B65:B67)</f>
        <v>64417.93</v>
      </c>
      <c r="C70" s="9">
        <f t="shared" si="32"/>
        <v>67036.100000000006</v>
      </c>
      <c r="D70" s="9">
        <f t="shared" si="32"/>
        <v>2702.8799999999901</v>
      </c>
      <c r="E70" s="9">
        <f t="shared" si="32"/>
        <v>67036.100000000006</v>
      </c>
      <c r="F70" s="9">
        <f t="shared" si="32"/>
        <v>69414.12</v>
      </c>
      <c r="G70" s="9">
        <f t="shared" si="32"/>
        <v>67036.100000000006</v>
      </c>
      <c r="H70" s="9">
        <f t="shared" si="32"/>
        <v>70560.33</v>
      </c>
      <c r="I70" s="9">
        <f t="shared" si="32"/>
        <v>68268.88</v>
      </c>
      <c r="J70" s="9">
        <f t="shared" si="32"/>
        <v>66326.509999999995</v>
      </c>
      <c r="K70" s="9">
        <f t="shared" si="32"/>
        <v>67316.739999999991</v>
      </c>
      <c r="L70" s="9">
        <f t="shared" si="32"/>
        <v>84260</v>
      </c>
      <c r="M70" s="9">
        <f t="shared" si="32"/>
        <v>75794.460000000006</v>
      </c>
      <c r="N70" s="9">
        <f t="shared" si="32"/>
        <v>770170.15</v>
      </c>
    </row>
    <row r="71" spans="1:14" ht="4.95" customHeight="1" x14ac:dyDescent="0.2"/>
    <row r="72" spans="1:14" x14ac:dyDescent="0.2">
      <c r="A72" s="1" t="s">
        <v>52</v>
      </c>
      <c r="B72" s="10">
        <f t="shared" ref="B72:N72" si="33">B1057</f>
        <v>8250.7999999999993</v>
      </c>
      <c r="C72" s="10">
        <f t="shared" si="33"/>
        <v>7929.4</v>
      </c>
      <c r="D72" s="10">
        <f t="shared" si="33"/>
        <v>8842.94</v>
      </c>
      <c r="E72" s="10">
        <f t="shared" si="33"/>
        <v>9501.57</v>
      </c>
      <c r="F72" s="10">
        <f t="shared" si="33"/>
        <v>9488.2199999999993</v>
      </c>
      <c r="G72" s="10">
        <f t="shared" si="33"/>
        <v>8059.58</v>
      </c>
      <c r="H72" s="10">
        <f t="shared" si="33"/>
        <v>8732.58</v>
      </c>
      <c r="I72" s="10">
        <f t="shared" si="33"/>
        <v>8897</v>
      </c>
      <c r="J72" s="10">
        <f t="shared" si="33"/>
        <v>8907.41</v>
      </c>
      <c r="K72" s="10">
        <f t="shared" si="33"/>
        <v>8987.14</v>
      </c>
      <c r="L72" s="10">
        <f t="shared" si="33"/>
        <v>8385.2199999999993</v>
      </c>
      <c r="M72" s="10">
        <f t="shared" si="33"/>
        <v>224771.77</v>
      </c>
      <c r="N72" s="10">
        <f t="shared" si="33"/>
        <v>320753.63</v>
      </c>
    </row>
    <row r="73" spans="1:14" ht="4.95" customHeight="1" x14ac:dyDescent="0.2"/>
    <row r="74" spans="1:14" x14ac:dyDescent="0.2">
      <c r="A74" s="7" t="s">
        <v>53</v>
      </c>
      <c r="B74" s="9">
        <f t="shared" ref="B74:N74" si="34">B62-B70+B72</f>
        <v>327289.8000000001</v>
      </c>
      <c r="C74" s="9">
        <f t="shared" si="34"/>
        <v>523380.79999999993</v>
      </c>
      <c r="D74" s="9">
        <f t="shared" si="34"/>
        <v>584694.94999999972</v>
      </c>
      <c r="E74" s="9">
        <f t="shared" si="34"/>
        <v>459132.28000000009</v>
      </c>
      <c r="F74" s="9">
        <f t="shared" si="34"/>
        <v>556361.0399999998</v>
      </c>
      <c r="G74" s="9">
        <f t="shared" si="34"/>
        <v>254609.56999999995</v>
      </c>
      <c r="H74" s="9">
        <f t="shared" si="34"/>
        <v>602424.3400000002</v>
      </c>
      <c r="I74" s="9">
        <f t="shared" si="34"/>
        <v>287304.96999999986</v>
      </c>
      <c r="J74" s="9">
        <f t="shared" si="34"/>
        <v>297530.92999999988</v>
      </c>
      <c r="K74" s="9">
        <f t="shared" si="34"/>
        <v>369191.84999999992</v>
      </c>
      <c r="L74" s="9">
        <f t="shared" si="34"/>
        <v>491133.07999999984</v>
      </c>
      <c r="M74" s="9">
        <f t="shared" si="34"/>
        <v>311002.73999999987</v>
      </c>
      <c r="N74" s="9">
        <f t="shared" si="34"/>
        <v>5064056.3500000006</v>
      </c>
    </row>
    <row r="75" spans="1:14" ht="4.95" customHeight="1" x14ac:dyDescent="0.2"/>
    <row r="76" spans="1:14" x14ac:dyDescent="0.2">
      <c r="A76" s="7" t="s">
        <v>54</v>
      </c>
      <c r="B76" s="9">
        <f t="shared" ref="B76:N76" si="35">B62-B70+B72</f>
        <v>327289.8000000001</v>
      </c>
      <c r="C76" s="9">
        <f t="shared" si="35"/>
        <v>523380.79999999993</v>
      </c>
      <c r="D76" s="9">
        <f t="shared" si="35"/>
        <v>584694.94999999972</v>
      </c>
      <c r="E76" s="9">
        <f t="shared" si="35"/>
        <v>459132.28000000009</v>
      </c>
      <c r="F76" s="9">
        <f t="shared" si="35"/>
        <v>556361.0399999998</v>
      </c>
      <c r="G76" s="9">
        <f t="shared" si="35"/>
        <v>254609.56999999995</v>
      </c>
      <c r="H76" s="9">
        <f t="shared" si="35"/>
        <v>602424.3400000002</v>
      </c>
      <c r="I76" s="9">
        <f t="shared" si="35"/>
        <v>287304.96999999986</v>
      </c>
      <c r="J76" s="9">
        <f t="shared" si="35"/>
        <v>297530.92999999988</v>
      </c>
      <c r="K76" s="9">
        <f t="shared" si="35"/>
        <v>369191.84999999992</v>
      </c>
      <c r="L76" s="9">
        <f t="shared" si="35"/>
        <v>491133.07999999984</v>
      </c>
      <c r="M76" s="9">
        <f t="shared" si="35"/>
        <v>311002.73999999987</v>
      </c>
      <c r="N76" s="9">
        <f t="shared" si="35"/>
        <v>5064056.3500000006</v>
      </c>
    </row>
    <row r="77" spans="1:14" ht="4.95" customHeight="1" x14ac:dyDescent="0.2"/>
    <row r="78" spans="1:14" x14ac:dyDescent="0.2">
      <c r="A78" s="1" t="s">
        <v>55</v>
      </c>
      <c r="B78" s="10">
        <f t="shared" ref="B78:N78" si="36">B1070</f>
        <v>150958.08000000002</v>
      </c>
      <c r="C78" s="10">
        <f t="shared" si="36"/>
        <v>140982</v>
      </c>
      <c r="D78" s="10">
        <f t="shared" si="36"/>
        <v>150382.85999999999</v>
      </c>
      <c r="E78" s="10">
        <f t="shared" si="36"/>
        <v>145283.44999999998</v>
      </c>
      <c r="F78" s="10">
        <f t="shared" si="36"/>
        <v>149830.60999999999</v>
      </c>
      <c r="G78" s="10">
        <f t="shared" si="36"/>
        <v>144743.01999999999</v>
      </c>
      <c r="H78" s="10">
        <f t="shared" si="36"/>
        <v>149270.25</v>
      </c>
      <c r="I78" s="10">
        <f t="shared" si="36"/>
        <v>149001.60000000001</v>
      </c>
      <c r="J78" s="10">
        <f t="shared" si="36"/>
        <v>143933.89000000001</v>
      </c>
      <c r="K78" s="10">
        <f t="shared" si="36"/>
        <v>148431.26999999999</v>
      </c>
      <c r="L78" s="10">
        <f t="shared" si="36"/>
        <v>150059.75999999998</v>
      </c>
      <c r="M78" s="10">
        <f t="shared" si="36"/>
        <v>147858.99</v>
      </c>
      <c r="N78" s="10">
        <f t="shared" si="36"/>
        <v>1770735.7799999998</v>
      </c>
    </row>
    <row r="79" spans="1:14" ht="4.95" customHeight="1" x14ac:dyDescent="0.2"/>
    <row r="80" spans="1:14" x14ac:dyDescent="0.2">
      <c r="A80" s="7" t="s">
        <v>56</v>
      </c>
      <c r="B80" s="9">
        <f t="shared" ref="B80:N80" si="37">B76-B78</f>
        <v>176331.72000000009</v>
      </c>
      <c r="C80" s="9">
        <f t="shared" si="37"/>
        <v>382398.79999999993</v>
      </c>
      <c r="D80" s="9">
        <f t="shared" si="37"/>
        <v>434312.08999999973</v>
      </c>
      <c r="E80" s="9">
        <f t="shared" si="37"/>
        <v>313848.83000000007</v>
      </c>
      <c r="F80" s="9">
        <f t="shared" si="37"/>
        <v>406530.42999999982</v>
      </c>
      <c r="G80" s="9">
        <f t="shared" si="37"/>
        <v>109866.54999999996</v>
      </c>
      <c r="H80" s="9">
        <f t="shared" si="37"/>
        <v>453154.0900000002</v>
      </c>
      <c r="I80" s="9">
        <f t="shared" si="37"/>
        <v>138303.36999999985</v>
      </c>
      <c r="J80" s="9">
        <f t="shared" si="37"/>
        <v>153597.03999999986</v>
      </c>
      <c r="K80" s="9">
        <f t="shared" si="37"/>
        <v>220760.57999999993</v>
      </c>
      <c r="L80" s="9">
        <f t="shared" si="37"/>
        <v>341073.31999999983</v>
      </c>
      <c r="M80" s="9">
        <f t="shared" si="37"/>
        <v>163143.74999999988</v>
      </c>
      <c r="N80" s="9">
        <f t="shared" si="37"/>
        <v>3293320.5700000008</v>
      </c>
    </row>
    <row r="81" spans="1:14" ht="4.95" customHeight="1" x14ac:dyDescent="0.2"/>
    <row r="82" spans="1:14" x14ac:dyDescent="0.2">
      <c r="A82" s="1" t="s">
        <v>57</v>
      </c>
      <c r="B82" s="10">
        <f t="shared" ref="B82:N82" si="38">B1082</f>
        <v>0</v>
      </c>
      <c r="C82" s="10">
        <f t="shared" si="38"/>
        <v>0</v>
      </c>
      <c r="D82" s="10">
        <f t="shared" si="38"/>
        <v>0</v>
      </c>
      <c r="E82" s="10">
        <f t="shared" si="38"/>
        <v>0</v>
      </c>
      <c r="F82" s="10">
        <f t="shared" si="38"/>
        <v>0</v>
      </c>
      <c r="G82" s="10">
        <f t="shared" si="38"/>
        <v>0</v>
      </c>
      <c r="H82" s="10">
        <f t="shared" si="38"/>
        <v>0</v>
      </c>
      <c r="I82" s="10">
        <f t="shared" si="38"/>
        <v>0</v>
      </c>
      <c r="J82" s="10">
        <f t="shared" si="38"/>
        <v>0</v>
      </c>
      <c r="K82" s="10">
        <f t="shared" si="38"/>
        <v>0</v>
      </c>
      <c r="L82" s="10">
        <f t="shared" si="38"/>
        <v>0</v>
      </c>
      <c r="M82" s="10">
        <f t="shared" si="38"/>
        <v>1434030.68</v>
      </c>
      <c r="N82" s="10">
        <f t="shared" si="38"/>
        <v>1434030.68</v>
      </c>
    </row>
    <row r="83" spans="1:14" ht="4.95" customHeight="1" x14ac:dyDescent="0.2"/>
    <row r="84" spans="1:14" x14ac:dyDescent="0.2">
      <c r="A84" s="7" t="s">
        <v>58</v>
      </c>
      <c r="B84" s="9">
        <f t="shared" ref="B84:N84" si="39">B77+B80-B82</f>
        <v>176331.72000000009</v>
      </c>
      <c r="C84" s="9">
        <f t="shared" si="39"/>
        <v>382398.79999999993</v>
      </c>
      <c r="D84" s="9">
        <f t="shared" si="39"/>
        <v>434312.08999999973</v>
      </c>
      <c r="E84" s="9">
        <f t="shared" si="39"/>
        <v>313848.83000000007</v>
      </c>
      <c r="F84" s="9">
        <f t="shared" si="39"/>
        <v>406530.42999999982</v>
      </c>
      <c r="G84" s="9">
        <f t="shared" si="39"/>
        <v>109866.54999999996</v>
      </c>
      <c r="H84" s="9">
        <f t="shared" si="39"/>
        <v>453154.0900000002</v>
      </c>
      <c r="I84" s="9">
        <f t="shared" si="39"/>
        <v>138303.36999999985</v>
      </c>
      <c r="J84" s="9">
        <f t="shared" si="39"/>
        <v>153597.03999999986</v>
      </c>
      <c r="K84" s="9">
        <f t="shared" si="39"/>
        <v>220760.57999999993</v>
      </c>
      <c r="L84" s="9">
        <f t="shared" si="39"/>
        <v>341073.31999999983</v>
      </c>
      <c r="M84" s="9">
        <f t="shared" si="39"/>
        <v>-1270886.9300000002</v>
      </c>
      <c r="N84" s="9">
        <f t="shared" si="39"/>
        <v>1859289.8900000008</v>
      </c>
    </row>
    <row r="85" spans="1:14" x14ac:dyDescent="0.2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 t="s">
        <v>3</v>
      </c>
    </row>
    <row r="86" spans="1:14" x14ac:dyDescent="0.2">
      <c r="A86" s="16" t="s">
        <v>25</v>
      </c>
    </row>
    <row r="88" spans="1:14" x14ac:dyDescent="0.2">
      <c r="A88" s="16" t="s">
        <v>59</v>
      </c>
    </row>
    <row r="89" spans="1:14" x14ac:dyDescent="0.2">
      <c r="A89" s="16" t="s">
        <v>60</v>
      </c>
    </row>
    <row r="90" spans="1:14" x14ac:dyDescent="0.2">
      <c r="A90" s="17" t="s">
        <v>61</v>
      </c>
      <c r="B90" s="10">
        <v>374277.05</v>
      </c>
      <c r="C90" s="10">
        <v>330980.13</v>
      </c>
      <c r="D90" s="10">
        <v>410273.58</v>
      </c>
      <c r="E90" s="10">
        <v>360118.02</v>
      </c>
      <c r="F90" s="10">
        <v>392921.69</v>
      </c>
      <c r="G90" s="10">
        <v>282286.71000000002</v>
      </c>
      <c r="H90" s="10">
        <v>550326.52</v>
      </c>
      <c r="I90" s="10">
        <v>307491.5</v>
      </c>
      <c r="J90" s="10">
        <v>261661.3</v>
      </c>
      <c r="K90" s="10">
        <v>243927.66</v>
      </c>
      <c r="L90" s="10">
        <v>266898.09999999998</v>
      </c>
      <c r="M90" s="10">
        <v>197009.07</v>
      </c>
      <c r="N90" s="10">
        <f t="shared" ref="N90:N96" si="40">B90+C90+D90+E90+F90+G90+H90+I90+J90+K90+L90+M90</f>
        <v>3978171.33</v>
      </c>
    </row>
    <row r="91" spans="1:14" x14ac:dyDescent="0.2">
      <c r="A91" s="17" t="s">
        <v>62</v>
      </c>
      <c r="B91" s="10">
        <v>31830.03</v>
      </c>
      <c r="C91" s="10">
        <v>42301.16</v>
      </c>
      <c r="D91" s="10">
        <v>32052.080000000002</v>
      </c>
      <c r="E91" s="10">
        <v>42935</v>
      </c>
      <c r="F91" s="10">
        <v>34471.730000000003</v>
      </c>
      <c r="G91" s="10">
        <v>27833.78</v>
      </c>
      <c r="H91" s="10">
        <v>16426.87</v>
      </c>
      <c r="I91" s="10">
        <v>21144.7</v>
      </c>
      <c r="J91" s="10">
        <v>44494.81</v>
      </c>
      <c r="K91" s="10">
        <v>43093.02</v>
      </c>
      <c r="L91" s="10">
        <v>52274.8</v>
      </c>
      <c r="M91" s="10">
        <v>15416.44</v>
      </c>
      <c r="N91" s="10">
        <f t="shared" si="40"/>
        <v>404274.42000000004</v>
      </c>
    </row>
    <row r="92" spans="1:14" x14ac:dyDescent="0.2">
      <c r="A92" s="17" t="s">
        <v>63</v>
      </c>
      <c r="B92" s="10">
        <v>59752.65</v>
      </c>
      <c r="C92" s="10">
        <v>48863.199999999997</v>
      </c>
      <c r="D92" s="10">
        <v>65858.880000000005</v>
      </c>
      <c r="E92" s="10">
        <v>43478.65</v>
      </c>
      <c r="F92" s="10">
        <v>62395.81</v>
      </c>
      <c r="G92" s="10">
        <v>50986.71</v>
      </c>
      <c r="H92" s="10">
        <v>46501.88</v>
      </c>
      <c r="I92" s="10">
        <v>30979.29</v>
      </c>
      <c r="J92" s="10">
        <v>54811.26</v>
      </c>
      <c r="K92" s="10">
        <v>48640.73</v>
      </c>
      <c r="L92" s="10">
        <v>56063.53</v>
      </c>
      <c r="M92" s="10">
        <v>33500.01</v>
      </c>
      <c r="N92" s="10">
        <f t="shared" si="40"/>
        <v>601832.6</v>
      </c>
    </row>
    <row r="93" spans="1:14" x14ac:dyDescent="0.2">
      <c r="A93" s="17" t="s">
        <v>64</v>
      </c>
      <c r="B93" s="10">
        <v>167655.28</v>
      </c>
      <c r="C93" s="10">
        <v>124814.8</v>
      </c>
      <c r="D93" s="10">
        <v>241310.24</v>
      </c>
      <c r="E93" s="10">
        <v>170346.9</v>
      </c>
      <c r="F93" s="10">
        <v>198619.94</v>
      </c>
      <c r="G93" s="10">
        <v>156449</v>
      </c>
      <c r="H93" s="10">
        <v>233313.65</v>
      </c>
      <c r="I93" s="10">
        <v>163090.5</v>
      </c>
      <c r="J93" s="10">
        <v>165013.79999999999</v>
      </c>
      <c r="K93" s="10">
        <v>165696.09</v>
      </c>
      <c r="L93" s="10">
        <v>231663.49</v>
      </c>
      <c r="M93" s="10">
        <v>200094.96</v>
      </c>
      <c r="N93" s="10">
        <f t="shared" si="40"/>
        <v>2218068.6500000004</v>
      </c>
    </row>
    <row r="94" spans="1:14" x14ac:dyDescent="0.2">
      <c r="A94" s="17" t="s">
        <v>65</v>
      </c>
      <c r="B94" s="10">
        <v>106921.33</v>
      </c>
      <c r="C94" s="10">
        <v>124925.33</v>
      </c>
      <c r="D94" s="10">
        <v>147772.84</v>
      </c>
      <c r="E94" s="10">
        <v>138914.98000000001</v>
      </c>
      <c r="F94" s="10">
        <v>148115.19</v>
      </c>
      <c r="G94" s="10">
        <v>90785.98</v>
      </c>
      <c r="H94" s="10">
        <v>93930.19</v>
      </c>
      <c r="I94" s="10">
        <v>90648.34</v>
      </c>
      <c r="J94" s="10">
        <v>109452.49</v>
      </c>
      <c r="K94" s="10">
        <v>164006.24</v>
      </c>
      <c r="L94" s="10">
        <v>128306.97</v>
      </c>
      <c r="M94" s="10">
        <v>63803.93</v>
      </c>
      <c r="N94" s="10">
        <f t="shared" si="40"/>
        <v>1407583.8099999998</v>
      </c>
    </row>
    <row r="95" spans="1:14" x14ac:dyDescent="0.2">
      <c r="A95" s="17" t="s">
        <v>66</v>
      </c>
      <c r="B95" s="10">
        <v>58142.080000000002</v>
      </c>
      <c r="C95" s="10">
        <v>48454.13</v>
      </c>
      <c r="D95" s="10">
        <v>54875.65</v>
      </c>
      <c r="E95" s="10">
        <v>51547.37</v>
      </c>
      <c r="F95" s="10">
        <v>69805.039999999994</v>
      </c>
      <c r="G95" s="10">
        <v>56245.91</v>
      </c>
      <c r="H95" s="10">
        <v>247886.35</v>
      </c>
      <c r="I95" s="10">
        <v>213861.62</v>
      </c>
      <c r="J95" s="10">
        <v>139905.92000000001</v>
      </c>
      <c r="K95" s="10">
        <v>88420.31</v>
      </c>
      <c r="L95" s="10">
        <v>72184.02</v>
      </c>
      <c r="M95" s="10">
        <v>35886.36</v>
      </c>
      <c r="N95" s="10">
        <f t="shared" si="40"/>
        <v>1137214.76</v>
      </c>
    </row>
    <row r="96" spans="1:14" x14ac:dyDescent="0.2">
      <c r="A96" s="17" t="s">
        <v>67</v>
      </c>
      <c r="B96" s="10">
        <v>6466</v>
      </c>
      <c r="C96" s="10">
        <v>43658</v>
      </c>
      <c r="D96" s="10">
        <v>50046</v>
      </c>
      <c r="E96" s="10">
        <v>11428</v>
      </c>
      <c r="F96" s="10">
        <v>29363.8</v>
      </c>
      <c r="G96" s="10">
        <v>16485</v>
      </c>
      <c r="H96" s="10">
        <v>38551.67</v>
      </c>
      <c r="I96" s="10">
        <v>16592</v>
      </c>
      <c r="J96" s="10">
        <v>15107.54</v>
      </c>
      <c r="K96" s="10">
        <v>14378.45</v>
      </c>
      <c r="L96" s="10">
        <v>23071.56</v>
      </c>
      <c r="M96" s="10">
        <v>14757.76</v>
      </c>
      <c r="N96" s="10">
        <f t="shared" si="40"/>
        <v>279905.78000000003</v>
      </c>
    </row>
    <row r="97" spans="1:14" ht="4.95" customHeight="1" x14ac:dyDescent="0.2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1:14" ht="4.95" customHeight="1" x14ac:dyDescent="0.2"/>
    <row r="99" spans="1:14" x14ac:dyDescent="0.2">
      <c r="A99" s="16" t="s">
        <v>68</v>
      </c>
      <c r="B99" s="9">
        <f t="shared" ref="B99:N99" si="41">SUM(B90:B96)</f>
        <v>805044.41999999993</v>
      </c>
      <c r="C99" s="9">
        <f t="shared" si="41"/>
        <v>763996.75</v>
      </c>
      <c r="D99" s="9">
        <f t="shared" si="41"/>
        <v>1002189.27</v>
      </c>
      <c r="E99" s="9">
        <f t="shared" si="41"/>
        <v>818768.92</v>
      </c>
      <c r="F99" s="9">
        <f t="shared" si="41"/>
        <v>935693.2</v>
      </c>
      <c r="G99" s="9">
        <f t="shared" si="41"/>
        <v>681073.09000000008</v>
      </c>
      <c r="H99" s="9">
        <f t="shared" si="41"/>
        <v>1226937.1300000001</v>
      </c>
      <c r="I99" s="9">
        <f t="shared" si="41"/>
        <v>843807.95</v>
      </c>
      <c r="J99" s="9">
        <f t="shared" si="41"/>
        <v>790447.12</v>
      </c>
      <c r="K99" s="9">
        <f t="shared" si="41"/>
        <v>768162.5</v>
      </c>
      <c r="L99" s="9">
        <f t="shared" si="41"/>
        <v>830462.47</v>
      </c>
      <c r="M99" s="9">
        <f t="shared" si="41"/>
        <v>560468.53</v>
      </c>
      <c r="N99" s="9">
        <f t="shared" si="41"/>
        <v>10027051.35</v>
      </c>
    </row>
    <row r="100" spans="1:14" ht="4.95" customHeight="1" x14ac:dyDescent="0.2"/>
    <row r="101" spans="1:14" x14ac:dyDescent="0.2">
      <c r="A101" s="16" t="s">
        <v>69</v>
      </c>
    </row>
    <row r="102" spans="1:14" x14ac:dyDescent="0.2">
      <c r="A102" s="17" t="s">
        <v>70</v>
      </c>
      <c r="B102" s="10">
        <v>58707</v>
      </c>
      <c r="C102" s="10">
        <v>108266</v>
      </c>
      <c r="D102" s="10">
        <v>56564.46</v>
      </c>
      <c r="E102" s="10">
        <v>27972.1</v>
      </c>
      <c r="F102" s="10">
        <v>25476</v>
      </c>
      <c r="G102" s="10">
        <v>21527</v>
      </c>
      <c r="H102" s="10">
        <v>31104</v>
      </c>
      <c r="I102" s="10">
        <v>10227</v>
      </c>
      <c r="J102" s="10">
        <v>28350</v>
      </c>
      <c r="K102" s="10">
        <v>65733</v>
      </c>
      <c r="L102" s="10">
        <v>23820</v>
      </c>
      <c r="M102" s="10">
        <v>5289</v>
      </c>
      <c r="N102" s="10">
        <f>B102+C102+D102+E102+F102+G102+H102+I102+J102+K102+L102+M102</f>
        <v>463035.56</v>
      </c>
    </row>
    <row r="103" spans="1:14" x14ac:dyDescent="0.2">
      <c r="A103" s="17" t="s">
        <v>71</v>
      </c>
      <c r="B103" s="10">
        <v>0</v>
      </c>
      <c r="C103" s="10">
        <v>62459.199999999997</v>
      </c>
      <c r="D103" s="10">
        <v>31743</v>
      </c>
      <c r="E103" s="10">
        <v>66745</v>
      </c>
      <c r="F103" s="10">
        <v>5724</v>
      </c>
      <c r="G103" s="10">
        <v>122604</v>
      </c>
      <c r="H103" s="10">
        <v>0</v>
      </c>
      <c r="I103" s="10">
        <v>6322</v>
      </c>
      <c r="J103" s="10">
        <v>5615</v>
      </c>
      <c r="K103" s="10">
        <v>5239</v>
      </c>
      <c r="L103" s="10">
        <v>14964</v>
      </c>
      <c r="M103" s="10">
        <v>2658</v>
      </c>
      <c r="N103" s="10">
        <f>B103+C103+D103+E103+F103+G103+H103+I103+J103+K103+L103+M103</f>
        <v>324073.2</v>
      </c>
    </row>
    <row r="104" spans="1:14" x14ac:dyDescent="0.2">
      <c r="A104" s="17" t="s">
        <v>72</v>
      </c>
      <c r="B104" s="10">
        <v>40919.57</v>
      </c>
      <c r="C104" s="10">
        <v>20350.150000000001</v>
      </c>
      <c r="D104" s="10">
        <v>22018.53</v>
      </c>
      <c r="E104" s="10">
        <v>7232.13</v>
      </c>
      <c r="F104" s="10">
        <v>17554.28</v>
      </c>
      <c r="G104" s="10">
        <v>11309.89</v>
      </c>
      <c r="H104" s="10">
        <v>21639.57</v>
      </c>
      <c r="I104" s="10">
        <v>10905.94</v>
      </c>
      <c r="J104" s="10">
        <v>26312.75</v>
      </c>
      <c r="K104" s="10">
        <v>13083.06</v>
      </c>
      <c r="L104" s="10">
        <v>17614.21</v>
      </c>
      <c r="M104" s="10">
        <v>9031.2000000000007</v>
      </c>
      <c r="N104" s="10">
        <f>B104+C104+D104+E104+F104+G104+H104+I104+J104+K104+L104+M104</f>
        <v>217971.28</v>
      </c>
    </row>
    <row r="105" spans="1:14" x14ac:dyDescent="0.2">
      <c r="A105" s="17" t="s">
        <v>73</v>
      </c>
      <c r="B105" s="10">
        <v>8385</v>
      </c>
      <c r="C105" s="10">
        <v>95672.3</v>
      </c>
      <c r="D105" s="10">
        <v>61082.52</v>
      </c>
      <c r="E105" s="10">
        <v>112357.16</v>
      </c>
      <c r="F105" s="10">
        <v>96386.37</v>
      </c>
      <c r="G105" s="10">
        <v>86158.8</v>
      </c>
      <c r="H105" s="10">
        <v>19402</v>
      </c>
      <c r="I105" s="10">
        <v>78603</v>
      </c>
      <c r="J105" s="10">
        <v>46631.25</v>
      </c>
      <c r="K105" s="10">
        <v>57733.1</v>
      </c>
      <c r="L105" s="10">
        <v>76471.240000000005</v>
      </c>
      <c r="M105" s="10">
        <v>26130</v>
      </c>
      <c r="N105" s="10">
        <f>B105+C105+D105+E105+F105+G105+H105+I105+J105+K105+L105+M105</f>
        <v>765012.73999999987</v>
      </c>
    </row>
    <row r="106" spans="1:14" ht="4.95" customHeight="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1:14" ht="4.95" customHeight="1" x14ac:dyDescent="0.2"/>
    <row r="108" spans="1:14" x14ac:dyDescent="0.2">
      <c r="A108" s="16" t="s">
        <v>74</v>
      </c>
      <c r="B108" s="9">
        <f t="shared" ref="B108:N108" si="42">SUM(B102:B105)</f>
        <v>108011.57</v>
      </c>
      <c r="C108" s="9">
        <f t="shared" si="42"/>
        <v>286747.65000000002</v>
      </c>
      <c r="D108" s="9">
        <f t="shared" si="42"/>
        <v>171408.50999999998</v>
      </c>
      <c r="E108" s="9">
        <f t="shared" si="42"/>
        <v>214306.39</v>
      </c>
      <c r="F108" s="9">
        <f t="shared" si="42"/>
        <v>145140.65</v>
      </c>
      <c r="G108" s="9">
        <f t="shared" si="42"/>
        <v>241599.69</v>
      </c>
      <c r="H108" s="9">
        <f t="shared" si="42"/>
        <v>72145.570000000007</v>
      </c>
      <c r="I108" s="9">
        <f t="shared" si="42"/>
        <v>106057.94</v>
      </c>
      <c r="J108" s="9">
        <f t="shared" si="42"/>
        <v>106909</v>
      </c>
      <c r="K108" s="9">
        <f t="shared" si="42"/>
        <v>141788.16</v>
      </c>
      <c r="L108" s="9">
        <f t="shared" si="42"/>
        <v>132869.45000000001</v>
      </c>
      <c r="M108" s="9">
        <f t="shared" si="42"/>
        <v>43108.2</v>
      </c>
      <c r="N108" s="9">
        <f t="shared" si="42"/>
        <v>1770092.7799999998</v>
      </c>
    </row>
    <row r="109" spans="1:14" ht="4.95" customHeight="1" x14ac:dyDescent="0.2"/>
    <row r="110" spans="1:14" x14ac:dyDescent="0.2">
      <c r="A110" s="16" t="s">
        <v>75</v>
      </c>
    </row>
    <row r="111" spans="1:14" x14ac:dyDescent="0.2">
      <c r="A111" s="17" t="s">
        <v>76</v>
      </c>
      <c r="B111" s="10">
        <v>30889</v>
      </c>
      <c r="C111" s="10">
        <v>28203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f>B111+C111+D111+E111+F111+G111+H111+I111+J111+K111+L111+M111</f>
        <v>59092</v>
      </c>
    </row>
    <row r="112" spans="1:14" x14ac:dyDescent="0.2">
      <c r="A112" s="17" t="s">
        <v>77</v>
      </c>
      <c r="B112" s="10">
        <v>-8117.48</v>
      </c>
      <c r="C112" s="10">
        <v>-7316.88</v>
      </c>
      <c r="D112" s="10">
        <v>-12840.01</v>
      </c>
      <c r="E112" s="10">
        <v>-3781</v>
      </c>
      <c r="F112" s="10">
        <v>-8077.19</v>
      </c>
      <c r="G112" s="10">
        <v>-7727.19</v>
      </c>
      <c r="H112" s="10">
        <v>-19864.150000000001</v>
      </c>
      <c r="I112" s="10">
        <v>-8453.77</v>
      </c>
      <c r="J112" s="10">
        <v>-11807.09</v>
      </c>
      <c r="K112" s="10">
        <v>-5600.16</v>
      </c>
      <c r="L112" s="10">
        <v>-6799.74</v>
      </c>
      <c r="M112" s="10">
        <v>-3342.53</v>
      </c>
      <c r="N112" s="10">
        <f>B112+C112+D112+E112+F112+G112+H112+I112+J112+K112+L112+M112</f>
        <v>-103727.19000000002</v>
      </c>
    </row>
    <row r="113" spans="1:14" x14ac:dyDescent="0.2">
      <c r="A113" s="17" t="s">
        <v>78</v>
      </c>
      <c r="B113" s="10">
        <v>21189.67</v>
      </c>
      <c r="C113" s="10">
        <v>9555.94</v>
      </c>
      <c r="D113" s="10">
        <v>9573.5300000000007</v>
      </c>
      <c r="E113" s="10">
        <v>5945.75</v>
      </c>
      <c r="F113" s="10">
        <v>14940.86</v>
      </c>
      <c r="G113" s="10">
        <v>8277.8799999999992</v>
      </c>
      <c r="H113" s="10">
        <v>22108.85</v>
      </c>
      <c r="I113" s="10">
        <v>6968.34</v>
      </c>
      <c r="J113" s="10">
        <v>9140.58</v>
      </c>
      <c r="K113" s="10">
        <v>17282.45</v>
      </c>
      <c r="L113" s="10">
        <v>11743.97</v>
      </c>
      <c r="M113" s="10">
        <v>5860.13</v>
      </c>
      <c r="N113" s="10">
        <f>B113+C113+D113+E113+F113+G113+H113+I113+J113+K113+L113+M113</f>
        <v>142587.95000000001</v>
      </c>
    </row>
    <row r="114" spans="1:14" x14ac:dyDescent="0.2">
      <c r="A114" s="17" t="s">
        <v>79</v>
      </c>
      <c r="B114" s="10">
        <v>0</v>
      </c>
      <c r="C114" s="10">
        <v>0</v>
      </c>
      <c r="D114" s="10">
        <v>6201</v>
      </c>
      <c r="E114" s="10">
        <v>3683.91</v>
      </c>
      <c r="F114" s="10">
        <v>1014</v>
      </c>
      <c r="G114" s="10">
        <v>0</v>
      </c>
      <c r="H114" s="10">
        <v>0</v>
      </c>
      <c r="I114" s="10">
        <v>0</v>
      </c>
      <c r="J114" s="10">
        <v>0</v>
      </c>
      <c r="K114" s="10">
        <v>572.79999999999995</v>
      </c>
      <c r="L114" s="10">
        <v>645</v>
      </c>
      <c r="M114" s="10">
        <v>0</v>
      </c>
      <c r="N114" s="10">
        <f>B114+C114+D114+E114+F114+G114+H114+I114+J114+K114+L114+M114</f>
        <v>12116.71</v>
      </c>
    </row>
    <row r="115" spans="1:14" x14ac:dyDescent="0.2">
      <c r="A115" s="17" t="s">
        <v>80</v>
      </c>
      <c r="B115" s="10">
        <v>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-1504</v>
      </c>
      <c r="N115" s="10">
        <f>B115+C115+D115+E115+F115+G115+H115+I115+J115+K115+L115+M115</f>
        <v>-1504</v>
      </c>
    </row>
    <row r="116" spans="1:14" ht="4.95" customHeight="1" x14ac:dyDescent="0.2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1:14" ht="4.95" customHeight="1" x14ac:dyDescent="0.2"/>
    <row r="118" spans="1:14" x14ac:dyDescent="0.2">
      <c r="A118" s="16" t="s">
        <v>81</v>
      </c>
      <c r="B118" s="9">
        <f t="shared" ref="B118:N118" si="43">SUM(B111:B115)</f>
        <v>43961.19</v>
      </c>
      <c r="C118" s="9">
        <f t="shared" si="43"/>
        <v>30442.059999999998</v>
      </c>
      <c r="D118" s="9">
        <f t="shared" si="43"/>
        <v>2934.5200000000004</v>
      </c>
      <c r="E118" s="9">
        <f t="shared" si="43"/>
        <v>5848.66</v>
      </c>
      <c r="F118" s="9">
        <f t="shared" si="43"/>
        <v>7877.670000000001</v>
      </c>
      <c r="G118" s="9">
        <f t="shared" si="43"/>
        <v>550.6899999999996</v>
      </c>
      <c r="H118" s="9">
        <f t="shared" si="43"/>
        <v>2244.6999999999971</v>
      </c>
      <c r="I118" s="9">
        <f t="shared" si="43"/>
        <v>-1485.4300000000003</v>
      </c>
      <c r="J118" s="9">
        <f t="shared" si="43"/>
        <v>-2666.51</v>
      </c>
      <c r="K118" s="9">
        <f t="shared" si="43"/>
        <v>12255.09</v>
      </c>
      <c r="L118" s="9">
        <f t="shared" si="43"/>
        <v>5589.23</v>
      </c>
      <c r="M118" s="9">
        <f t="shared" si="43"/>
        <v>1013.5999999999999</v>
      </c>
      <c r="N118" s="9">
        <f t="shared" si="43"/>
        <v>108565.47</v>
      </c>
    </row>
    <row r="119" spans="1:14" ht="4.95" customHeight="1" x14ac:dyDescent="0.2"/>
    <row r="120" spans="1:14" ht="4.95" customHeight="1" x14ac:dyDescent="0.2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spans="1:14" ht="4.95" customHeight="1" x14ac:dyDescent="0.2"/>
    <row r="122" spans="1:14" x14ac:dyDescent="0.2">
      <c r="A122" s="16" t="s">
        <v>82</v>
      </c>
      <c r="B122" s="9">
        <f t="shared" ref="B122:N122" si="44">B99+B108+B118</f>
        <v>957017.17999999993</v>
      </c>
      <c r="C122" s="9">
        <f t="shared" si="44"/>
        <v>1081186.46</v>
      </c>
      <c r="D122" s="9">
        <f t="shared" si="44"/>
        <v>1176532.3</v>
      </c>
      <c r="E122" s="9">
        <f t="shared" si="44"/>
        <v>1038923.9700000001</v>
      </c>
      <c r="F122" s="9">
        <f t="shared" si="44"/>
        <v>1088711.5199999998</v>
      </c>
      <c r="G122" s="9">
        <f t="shared" si="44"/>
        <v>923223.47</v>
      </c>
      <c r="H122" s="9">
        <f t="shared" si="44"/>
        <v>1301327.4000000001</v>
      </c>
      <c r="I122" s="9">
        <f t="shared" si="44"/>
        <v>948380.45999999985</v>
      </c>
      <c r="J122" s="9">
        <f t="shared" si="44"/>
        <v>894689.61</v>
      </c>
      <c r="K122" s="9">
        <f t="shared" si="44"/>
        <v>922205.75</v>
      </c>
      <c r="L122" s="9">
        <f t="shared" si="44"/>
        <v>968921.14999999991</v>
      </c>
      <c r="M122" s="9">
        <f t="shared" si="44"/>
        <v>604590.32999999996</v>
      </c>
      <c r="N122" s="9">
        <f t="shared" si="44"/>
        <v>11905709.6</v>
      </c>
    </row>
    <row r="123" spans="1:14" x14ac:dyDescent="0.2">
      <c r="A123" s="16" t="s">
        <v>83</v>
      </c>
    </row>
    <row r="125" spans="1:14" x14ac:dyDescent="0.2">
      <c r="A125" s="16" t="s">
        <v>84</v>
      </c>
    </row>
    <row r="126" spans="1:14" x14ac:dyDescent="0.2">
      <c r="A126" s="16" t="s">
        <v>85</v>
      </c>
    </row>
    <row r="127" spans="1:14" x14ac:dyDescent="0.2">
      <c r="A127" s="17" t="s">
        <v>86</v>
      </c>
      <c r="B127" s="10">
        <v>4576.32</v>
      </c>
      <c r="C127" s="10">
        <v>4576.32</v>
      </c>
      <c r="D127" s="10">
        <v>4819.5200000000004</v>
      </c>
      <c r="E127" s="10">
        <v>4844.8</v>
      </c>
      <c r="F127" s="10">
        <v>5571.52</v>
      </c>
      <c r="G127" s="10">
        <v>4360.32</v>
      </c>
      <c r="H127" s="10">
        <v>5329.28</v>
      </c>
      <c r="I127" s="10">
        <v>5329.28</v>
      </c>
      <c r="J127" s="10">
        <v>4844.8</v>
      </c>
      <c r="K127" s="10">
        <v>5571.52</v>
      </c>
      <c r="L127" s="10">
        <v>5087.04</v>
      </c>
      <c r="M127" s="10">
        <v>5087.04</v>
      </c>
      <c r="N127" s="10">
        <f>B127+C127+D127+E127+F127+G127+H127+I127+J127+K127+L127+M127</f>
        <v>59997.760000000009</v>
      </c>
    </row>
    <row r="128" spans="1:14" x14ac:dyDescent="0.2">
      <c r="A128" s="17" t="s">
        <v>87</v>
      </c>
      <c r="B128" s="10">
        <v>3328.08</v>
      </c>
      <c r="C128" s="10">
        <v>3328.08</v>
      </c>
      <c r="D128" s="10">
        <v>3369.68</v>
      </c>
      <c r="E128" s="10">
        <v>3415.44</v>
      </c>
      <c r="F128" s="10">
        <v>3740.72</v>
      </c>
      <c r="G128" s="10">
        <v>2602.2399999999998</v>
      </c>
      <c r="H128" s="10">
        <v>3578.08</v>
      </c>
      <c r="I128" s="10">
        <v>3415.44</v>
      </c>
      <c r="J128" s="10">
        <v>1789.04</v>
      </c>
      <c r="K128" s="10">
        <v>3380.48</v>
      </c>
      <c r="L128" s="10">
        <v>3374.4</v>
      </c>
      <c r="M128" s="10">
        <v>3543.12</v>
      </c>
      <c r="N128" s="10">
        <f>B128+C128+D128+E128+F128+G128+H128+I128+J128+K128+L128+M128</f>
        <v>38864.800000000003</v>
      </c>
    </row>
    <row r="129" spans="1:14" x14ac:dyDescent="0.2">
      <c r="A129" s="17" t="s">
        <v>88</v>
      </c>
      <c r="B129" s="10">
        <v>7403.76</v>
      </c>
      <c r="C129" s="10">
        <v>5846.4</v>
      </c>
      <c r="D129" s="10">
        <v>7240.32</v>
      </c>
      <c r="E129" s="10">
        <v>9878.64</v>
      </c>
      <c r="F129" s="10">
        <v>10018.32</v>
      </c>
      <c r="G129" s="10">
        <v>7124.16</v>
      </c>
      <c r="H129" s="10">
        <v>9049.2000000000007</v>
      </c>
      <c r="I129" s="10">
        <v>6626.4</v>
      </c>
      <c r="J129" s="10">
        <v>6024</v>
      </c>
      <c r="K129" s="10">
        <v>6024</v>
      </c>
      <c r="L129" s="10">
        <v>6024</v>
      </c>
      <c r="M129" s="10">
        <v>5722.8</v>
      </c>
      <c r="N129" s="10">
        <f>B129+C129+D129+E129+F129+G129+H129+I129+J129+K129+L129+M129</f>
        <v>86982.000000000015</v>
      </c>
    </row>
    <row r="130" spans="1:14" x14ac:dyDescent="0.2">
      <c r="A130" s="17" t="s">
        <v>89</v>
      </c>
      <c r="B130" s="10">
        <v>4099.59</v>
      </c>
      <c r="C130" s="10">
        <v>4001.46</v>
      </c>
      <c r="D130" s="10">
        <v>3732.18</v>
      </c>
      <c r="E130" s="10">
        <v>2876.15</v>
      </c>
      <c r="F130" s="10">
        <v>6060.77</v>
      </c>
      <c r="G130" s="10">
        <v>5755.78</v>
      </c>
      <c r="H130" s="10">
        <v>6942.78</v>
      </c>
      <c r="I130" s="10">
        <v>6618.08</v>
      </c>
      <c r="J130" s="10">
        <v>6589.29</v>
      </c>
      <c r="K130" s="10">
        <v>6969.87</v>
      </c>
      <c r="L130" s="10">
        <v>6549.58</v>
      </c>
      <c r="M130" s="10">
        <v>6231.12</v>
      </c>
      <c r="N130" s="10">
        <f>B130+C130+D130+E130+F130+G130+H130+I130+J130+K130+L130+M130</f>
        <v>66426.650000000009</v>
      </c>
    </row>
    <row r="131" spans="1:14" x14ac:dyDescent="0.2">
      <c r="A131" s="17" t="s">
        <v>90</v>
      </c>
      <c r="B131" s="10">
        <v>17588.46</v>
      </c>
      <c r="C131" s="10">
        <v>18366.63</v>
      </c>
      <c r="D131" s="10">
        <v>19843.21</v>
      </c>
      <c r="E131" s="10">
        <v>18359.98</v>
      </c>
      <c r="F131" s="10">
        <v>19602.439999999999</v>
      </c>
      <c r="G131" s="10">
        <v>19095.22</v>
      </c>
      <c r="H131" s="10">
        <v>21379.79</v>
      </c>
      <c r="I131" s="10">
        <v>16691.07</v>
      </c>
      <c r="J131" s="10">
        <v>18240.8</v>
      </c>
      <c r="K131" s="10">
        <v>18906.490000000002</v>
      </c>
      <c r="L131" s="10">
        <v>20092.73</v>
      </c>
      <c r="M131" s="10">
        <v>20043.09</v>
      </c>
      <c r="N131" s="10">
        <f>B131+C131+D131+E131+F131+G131+H131+I131+J131+K131+L131+M131</f>
        <v>228209.91</v>
      </c>
    </row>
    <row r="132" spans="1:14" x14ac:dyDescent="0.2">
      <c r="A132" s="16" t="s">
        <v>91</v>
      </c>
      <c r="B132" s="9">
        <f t="shared" ref="B132:N132" si="45">SUM(B127:B131)</f>
        <v>36996.21</v>
      </c>
      <c r="C132" s="9">
        <f t="shared" si="45"/>
        <v>36118.89</v>
      </c>
      <c r="D132" s="9">
        <f t="shared" si="45"/>
        <v>39004.910000000003</v>
      </c>
      <c r="E132" s="9">
        <f t="shared" si="45"/>
        <v>39375.009999999995</v>
      </c>
      <c r="F132" s="9">
        <f t="shared" si="45"/>
        <v>44993.77</v>
      </c>
      <c r="G132" s="9">
        <f t="shared" si="45"/>
        <v>38937.72</v>
      </c>
      <c r="H132" s="9">
        <f t="shared" si="45"/>
        <v>46279.130000000005</v>
      </c>
      <c r="I132" s="9">
        <f t="shared" si="45"/>
        <v>38680.269999999997</v>
      </c>
      <c r="J132" s="9">
        <f t="shared" si="45"/>
        <v>37487.93</v>
      </c>
      <c r="K132" s="9">
        <f t="shared" si="45"/>
        <v>40852.36</v>
      </c>
      <c r="L132" s="9">
        <f t="shared" si="45"/>
        <v>41127.75</v>
      </c>
      <c r="M132" s="9">
        <f t="shared" si="45"/>
        <v>40627.17</v>
      </c>
      <c r="N132" s="9">
        <f t="shared" si="45"/>
        <v>480481.12</v>
      </c>
    </row>
    <row r="134" spans="1:14" x14ac:dyDescent="0.2">
      <c r="A134" s="16" t="s">
        <v>92</v>
      </c>
    </row>
    <row r="135" spans="1:14" x14ac:dyDescent="0.2">
      <c r="A135" s="17" t="s">
        <v>93</v>
      </c>
      <c r="B135" s="10">
        <v>4837.79</v>
      </c>
      <c r="C135" s="10">
        <v>6004.22</v>
      </c>
      <c r="D135" s="10">
        <v>7698.35</v>
      </c>
      <c r="E135" s="10">
        <v>7011.72</v>
      </c>
      <c r="F135" s="10">
        <v>4754.25</v>
      </c>
      <c r="G135" s="10">
        <v>5344.63</v>
      </c>
      <c r="H135" s="10">
        <v>5197.71</v>
      </c>
      <c r="I135" s="10">
        <v>5725.63</v>
      </c>
      <c r="J135" s="10">
        <v>4931.78</v>
      </c>
      <c r="K135" s="10">
        <v>4972.55</v>
      </c>
      <c r="L135" s="10">
        <v>4569.88</v>
      </c>
      <c r="M135" s="10">
        <v>5054.33</v>
      </c>
      <c r="N135" s="10">
        <f t="shared" ref="N135:N143" si="46">B135+C135+D135+E135+F135+G135+H135+I135+J135+K135+L135+M135</f>
        <v>66102.84</v>
      </c>
    </row>
    <row r="136" spans="1:14" x14ac:dyDescent="0.2">
      <c r="A136" s="17" t="s">
        <v>94</v>
      </c>
      <c r="B136" s="10">
        <v>31520.76</v>
      </c>
      <c r="C136" s="10">
        <v>29910.240000000002</v>
      </c>
      <c r="D136" s="10">
        <v>32400.94</v>
      </c>
      <c r="E136" s="10">
        <v>32152.99</v>
      </c>
      <c r="F136" s="10">
        <v>35519.760000000002</v>
      </c>
      <c r="G136" s="10">
        <v>30940.6</v>
      </c>
      <c r="H136" s="10">
        <v>38955.93</v>
      </c>
      <c r="I136" s="10">
        <v>29253.69</v>
      </c>
      <c r="J136" s="10">
        <v>30682.23</v>
      </c>
      <c r="K136" s="10">
        <v>39440.06</v>
      </c>
      <c r="L136" s="10">
        <v>41567.089999999997</v>
      </c>
      <c r="M136" s="10">
        <v>34949.69</v>
      </c>
      <c r="N136" s="10">
        <f t="shared" si="46"/>
        <v>407293.98000000004</v>
      </c>
    </row>
    <row r="137" spans="1:14" x14ac:dyDescent="0.2">
      <c r="A137" s="17" t="s">
        <v>95</v>
      </c>
      <c r="B137" s="10">
        <v>2747.45</v>
      </c>
      <c r="C137" s="10">
        <v>3659.71</v>
      </c>
      <c r="D137" s="10">
        <v>5367.19</v>
      </c>
      <c r="E137" s="10">
        <v>5765.18</v>
      </c>
      <c r="F137" s="10">
        <v>5862.52</v>
      </c>
      <c r="G137" s="10">
        <v>4969.3599999999997</v>
      </c>
      <c r="H137" s="10">
        <v>6023.06</v>
      </c>
      <c r="I137" s="10">
        <v>4586.04</v>
      </c>
      <c r="J137" s="10">
        <v>2681.54</v>
      </c>
      <c r="K137" s="10">
        <v>4474.25</v>
      </c>
      <c r="L137" s="10">
        <v>3999.52</v>
      </c>
      <c r="M137" s="10">
        <v>3134.78</v>
      </c>
      <c r="N137" s="10">
        <f t="shared" si="46"/>
        <v>53270.6</v>
      </c>
    </row>
    <row r="138" spans="1:14" x14ac:dyDescent="0.2">
      <c r="A138" s="17" t="s">
        <v>96</v>
      </c>
      <c r="B138" s="10">
        <v>6137.15</v>
      </c>
      <c r="C138" s="10">
        <v>6424.14</v>
      </c>
      <c r="D138" s="10">
        <v>7287.44</v>
      </c>
      <c r="E138" s="10">
        <v>6521.5</v>
      </c>
      <c r="F138" s="10">
        <v>3816.74</v>
      </c>
      <c r="G138" s="10">
        <v>6312.46</v>
      </c>
      <c r="H138" s="10">
        <v>7419.27</v>
      </c>
      <c r="I138" s="10">
        <v>7177.69</v>
      </c>
      <c r="J138" s="10">
        <v>5956.95</v>
      </c>
      <c r="K138" s="10">
        <v>4557.6899999999996</v>
      </c>
      <c r="L138" s="10">
        <v>5050.55</v>
      </c>
      <c r="M138" s="10">
        <v>4160.93</v>
      </c>
      <c r="N138" s="10">
        <f t="shared" si="46"/>
        <v>70822.510000000009</v>
      </c>
    </row>
    <row r="139" spans="1:14" x14ac:dyDescent="0.2">
      <c r="A139" s="17" t="s">
        <v>97</v>
      </c>
      <c r="B139" s="10">
        <v>3121.51</v>
      </c>
      <c r="C139" s="10">
        <v>2389.81</v>
      </c>
      <c r="D139" s="10">
        <v>717.06</v>
      </c>
      <c r="E139" s="10">
        <v>309.07</v>
      </c>
      <c r="F139" s="10">
        <v>3049.98</v>
      </c>
      <c r="G139" s="10">
        <v>2961.97</v>
      </c>
      <c r="H139" s="10">
        <v>3359.07</v>
      </c>
      <c r="I139" s="10">
        <v>3557.42</v>
      </c>
      <c r="J139" s="10">
        <v>3230.99</v>
      </c>
      <c r="K139" s="10">
        <v>1781.42</v>
      </c>
      <c r="L139" s="10">
        <v>2901.27</v>
      </c>
      <c r="M139" s="10">
        <v>1955.53</v>
      </c>
      <c r="N139" s="10">
        <f t="shared" si="46"/>
        <v>29335.099999999995</v>
      </c>
    </row>
    <row r="140" spans="1:14" x14ac:dyDescent="0.2">
      <c r="A140" s="17" t="s">
        <v>98</v>
      </c>
      <c r="B140" s="10">
        <v>10421.780000000001</v>
      </c>
      <c r="C140" s="10">
        <v>10687.43</v>
      </c>
      <c r="D140" s="10">
        <v>14194.83</v>
      </c>
      <c r="E140" s="10">
        <v>11120.69</v>
      </c>
      <c r="F140" s="10">
        <v>12747.31</v>
      </c>
      <c r="G140" s="10">
        <v>12211.75</v>
      </c>
      <c r="H140" s="10">
        <v>14527.84</v>
      </c>
      <c r="I140" s="10">
        <v>15274.02</v>
      </c>
      <c r="J140" s="10">
        <v>14537.2</v>
      </c>
      <c r="K140" s="10">
        <v>12666.04</v>
      </c>
      <c r="L140" s="10">
        <v>10595.76</v>
      </c>
      <c r="M140" s="10">
        <v>9375.5</v>
      </c>
      <c r="N140" s="10">
        <f t="shared" si="46"/>
        <v>148360.15000000002</v>
      </c>
    </row>
    <row r="141" spans="1:14" x14ac:dyDescent="0.2">
      <c r="A141" s="17" t="s">
        <v>99</v>
      </c>
      <c r="B141" s="10">
        <v>3672.46</v>
      </c>
      <c r="C141" s="10">
        <v>3377.84</v>
      </c>
      <c r="D141" s="10">
        <v>5073.34</v>
      </c>
      <c r="E141" s="10">
        <v>4368.8999999999996</v>
      </c>
      <c r="F141" s="10">
        <v>3933.34</v>
      </c>
      <c r="G141" s="10">
        <v>3383.95</v>
      </c>
      <c r="H141" s="10">
        <v>3623.16</v>
      </c>
      <c r="I141" s="10">
        <v>2794.85</v>
      </c>
      <c r="J141" s="10">
        <v>2672.48</v>
      </c>
      <c r="K141" s="10">
        <v>2181.9699999999998</v>
      </c>
      <c r="L141" s="10">
        <v>2964.27</v>
      </c>
      <c r="M141" s="10">
        <v>2726.19</v>
      </c>
      <c r="N141" s="10">
        <f t="shared" si="46"/>
        <v>40772.75</v>
      </c>
    </row>
    <row r="142" spans="1:14" x14ac:dyDescent="0.2">
      <c r="A142" s="17" t="s">
        <v>100</v>
      </c>
      <c r="B142" s="10">
        <v>12912</v>
      </c>
      <c r="C142" s="10">
        <v>13422.92</v>
      </c>
      <c r="D142" s="10">
        <v>13829.98</v>
      </c>
      <c r="E142" s="10">
        <v>13522.61</v>
      </c>
      <c r="F142" s="10">
        <v>11576.34</v>
      </c>
      <c r="G142" s="10">
        <v>12296.69</v>
      </c>
      <c r="H142" s="10">
        <v>14730</v>
      </c>
      <c r="I142" s="10">
        <v>13667.1</v>
      </c>
      <c r="J142" s="10">
        <v>13406.82</v>
      </c>
      <c r="K142" s="10">
        <v>11242.37</v>
      </c>
      <c r="L142" s="10">
        <v>13050.22</v>
      </c>
      <c r="M142" s="10">
        <v>9752.7999999999993</v>
      </c>
      <c r="N142" s="10">
        <f t="shared" si="46"/>
        <v>153409.84999999998</v>
      </c>
    </row>
    <row r="143" spans="1:14" x14ac:dyDescent="0.2">
      <c r="A143" s="17" t="s">
        <v>101</v>
      </c>
      <c r="B143" s="10">
        <v>11220.68</v>
      </c>
      <c r="C143" s="10">
        <v>20332</v>
      </c>
      <c r="D143" s="10">
        <v>16023.35</v>
      </c>
      <c r="E143" s="10">
        <v>11181.41</v>
      </c>
      <c r="F143" s="10">
        <v>13371.59</v>
      </c>
      <c r="G143" s="10">
        <v>9324.67</v>
      </c>
      <c r="H143" s="10">
        <v>9550.43</v>
      </c>
      <c r="I143" s="10">
        <v>16902.310000000001</v>
      </c>
      <c r="J143" s="10">
        <v>9925.2800000000007</v>
      </c>
      <c r="K143" s="10">
        <v>1323.45</v>
      </c>
      <c r="L143" s="10">
        <v>0</v>
      </c>
      <c r="M143" s="10">
        <v>0</v>
      </c>
      <c r="N143" s="10">
        <f t="shared" si="46"/>
        <v>119155.17</v>
      </c>
    </row>
    <row r="144" spans="1:14" x14ac:dyDescent="0.2">
      <c r="A144" s="16" t="s">
        <v>102</v>
      </c>
      <c r="B144" s="9">
        <f t="shared" ref="B144:N144" si="47">SUM(B135:B143)</f>
        <v>86591.579999999987</v>
      </c>
      <c r="C144" s="9">
        <f t="shared" si="47"/>
        <v>96208.31</v>
      </c>
      <c r="D144" s="9">
        <f t="shared" si="47"/>
        <v>102592.48</v>
      </c>
      <c r="E144" s="9">
        <f t="shared" si="47"/>
        <v>91954.07</v>
      </c>
      <c r="F144" s="9">
        <f t="shared" si="47"/>
        <v>94631.829999999987</v>
      </c>
      <c r="G144" s="9">
        <f t="shared" si="47"/>
        <v>87746.08</v>
      </c>
      <c r="H144" s="9">
        <f t="shared" si="47"/>
        <v>103386.47</v>
      </c>
      <c r="I144" s="9">
        <f t="shared" si="47"/>
        <v>98938.750000000015</v>
      </c>
      <c r="J144" s="9">
        <f t="shared" si="47"/>
        <v>88025.27</v>
      </c>
      <c r="K144" s="9">
        <f t="shared" si="47"/>
        <v>82639.8</v>
      </c>
      <c r="L144" s="9">
        <f t="shared" si="47"/>
        <v>84698.559999999998</v>
      </c>
      <c r="M144" s="9">
        <f t="shared" si="47"/>
        <v>71109.75</v>
      </c>
      <c r="N144" s="9">
        <f t="shared" si="47"/>
        <v>1088522.95</v>
      </c>
    </row>
    <row r="145" spans="1:14" x14ac:dyDescent="0.2">
      <c r="A145" s="16" t="s">
        <v>103</v>
      </c>
      <c r="B145" s="9">
        <f t="shared" ref="B145:N145" si="48">B132+B144</f>
        <v>123587.78999999998</v>
      </c>
      <c r="C145" s="9">
        <f t="shared" si="48"/>
        <v>132327.20000000001</v>
      </c>
      <c r="D145" s="9">
        <f t="shared" si="48"/>
        <v>141597.39000000001</v>
      </c>
      <c r="E145" s="9">
        <f t="shared" si="48"/>
        <v>131329.08000000002</v>
      </c>
      <c r="F145" s="9">
        <f t="shared" si="48"/>
        <v>139625.59999999998</v>
      </c>
      <c r="G145" s="9">
        <f t="shared" si="48"/>
        <v>126683.8</v>
      </c>
      <c r="H145" s="9">
        <f t="shared" si="48"/>
        <v>149665.60000000001</v>
      </c>
      <c r="I145" s="9">
        <f t="shared" si="48"/>
        <v>137619.02000000002</v>
      </c>
      <c r="J145" s="9">
        <f t="shared" si="48"/>
        <v>125513.20000000001</v>
      </c>
      <c r="K145" s="9">
        <f t="shared" si="48"/>
        <v>123492.16</v>
      </c>
      <c r="L145" s="9">
        <f t="shared" si="48"/>
        <v>125826.31</v>
      </c>
      <c r="M145" s="9">
        <f t="shared" si="48"/>
        <v>111736.92</v>
      </c>
      <c r="N145" s="9">
        <f t="shared" si="48"/>
        <v>1569004.0699999998</v>
      </c>
    </row>
    <row r="147" spans="1:14" x14ac:dyDescent="0.2">
      <c r="A147" s="16" t="s">
        <v>104</v>
      </c>
    </row>
    <row r="148" spans="1:14" x14ac:dyDescent="0.2">
      <c r="A148" s="17" t="s">
        <v>105</v>
      </c>
      <c r="B148" s="10">
        <v>750</v>
      </c>
      <c r="C148" s="10">
        <v>0</v>
      </c>
      <c r="D148" s="10">
        <v>2311.31</v>
      </c>
      <c r="E148" s="10">
        <v>0</v>
      </c>
      <c r="F148" s="10">
        <v>0</v>
      </c>
      <c r="G148" s="10">
        <v>182</v>
      </c>
      <c r="H148" s="10">
        <v>0</v>
      </c>
      <c r="I148" s="10">
        <v>786</v>
      </c>
      <c r="J148" s="10">
        <v>0</v>
      </c>
      <c r="K148" s="10">
        <v>0</v>
      </c>
      <c r="L148" s="10">
        <v>0</v>
      </c>
      <c r="M148" s="10">
        <v>0</v>
      </c>
      <c r="N148" s="10">
        <f t="shared" ref="N148:N154" si="49">B148+C148+D148+E148+F148+G148+H148+I148+J148+K148+L148+M148</f>
        <v>4029.31</v>
      </c>
    </row>
    <row r="149" spans="1:14" x14ac:dyDescent="0.2">
      <c r="A149" s="17" t="s">
        <v>106</v>
      </c>
      <c r="B149" s="10">
        <v>9359.02</v>
      </c>
      <c r="C149" s="10">
        <v>10857.09</v>
      </c>
      <c r="D149" s="10">
        <v>17544.93</v>
      </c>
      <c r="E149" s="10">
        <v>4846.1400000000003</v>
      </c>
      <c r="F149" s="10">
        <v>8946.98</v>
      </c>
      <c r="G149" s="10">
        <v>10156.09</v>
      </c>
      <c r="H149" s="10">
        <v>8644.52</v>
      </c>
      <c r="I149" s="10">
        <v>13919.57</v>
      </c>
      <c r="J149" s="10">
        <v>10003.030000000001</v>
      </c>
      <c r="K149" s="10">
        <v>8657.3700000000008</v>
      </c>
      <c r="L149" s="10">
        <v>9091.81</v>
      </c>
      <c r="M149" s="10">
        <v>8192.9599999999991</v>
      </c>
      <c r="N149" s="10">
        <f t="shared" si="49"/>
        <v>120219.50999999998</v>
      </c>
    </row>
    <row r="150" spans="1:14" x14ac:dyDescent="0.2">
      <c r="A150" s="17" t="s">
        <v>107</v>
      </c>
      <c r="B150" s="10">
        <v>705.25</v>
      </c>
      <c r="C150" s="10">
        <v>668.29</v>
      </c>
      <c r="D150" s="10">
        <v>686.29</v>
      </c>
      <c r="E150" s="10">
        <v>675.41</v>
      </c>
      <c r="F150" s="10">
        <v>619.27</v>
      </c>
      <c r="G150" s="10">
        <v>729.16</v>
      </c>
      <c r="H150" s="10">
        <v>793.12</v>
      </c>
      <c r="I150" s="10">
        <v>701.31</v>
      </c>
      <c r="J150" s="10">
        <v>649.04</v>
      </c>
      <c r="K150" s="10">
        <v>593.95000000000005</v>
      </c>
      <c r="L150" s="10">
        <v>590.65</v>
      </c>
      <c r="M150" s="10">
        <v>622.49</v>
      </c>
      <c r="N150" s="10">
        <f t="shared" si="49"/>
        <v>8034.23</v>
      </c>
    </row>
    <row r="151" spans="1:14" x14ac:dyDescent="0.2">
      <c r="A151" s="17" t="s">
        <v>108</v>
      </c>
      <c r="B151" s="10">
        <v>2776.57</v>
      </c>
      <c r="C151" s="10">
        <v>2610.0700000000002</v>
      </c>
      <c r="D151" s="10">
        <v>2018.16</v>
      </c>
      <c r="E151" s="10">
        <v>2953.95</v>
      </c>
      <c r="F151" s="10">
        <v>2107.94</v>
      </c>
      <c r="G151" s="10">
        <v>2260.33</v>
      </c>
      <c r="H151" s="10">
        <v>2224.13</v>
      </c>
      <c r="I151" s="10">
        <v>2490.9499999999998</v>
      </c>
      <c r="J151" s="10">
        <v>2897.01</v>
      </c>
      <c r="K151" s="10">
        <v>2181.63</v>
      </c>
      <c r="L151" s="10">
        <v>2214.16</v>
      </c>
      <c r="M151" s="10">
        <v>2747.62</v>
      </c>
      <c r="N151" s="10">
        <f t="shared" si="49"/>
        <v>29482.52</v>
      </c>
    </row>
    <row r="152" spans="1:14" x14ac:dyDescent="0.2">
      <c r="A152" s="17" t="s">
        <v>109</v>
      </c>
      <c r="B152" s="10">
        <v>5345.92</v>
      </c>
      <c r="C152" s="10">
        <v>1760.4</v>
      </c>
      <c r="D152" s="10">
        <v>4265.6000000000004</v>
      </c>
      <c r="E152" s="10">
        <v>3402.88</v>
      </c>
      <c r="F152" s="10">
        <v>4983.04</v>
      </c>
      <c r="G152" s="10">
        <v>3299.84</v>
      </c>
      <c r="H152" s="10">
        <v>699.78</v>
      </c>
      <c r="I152" s="10">
        <v>3996.64</v>
      </c>
      <c r="J152" s="10">
        <v>2312.96</v>
      </c>
      <c r="K152" s="10">
        <v>5109.4399999999996</v>
      </c>
      <c r="L152" s="10">
        <v>2162.3200000000002</v>
      </c>
      <c r="M152" s="10">
        <v>4840.08</v>
      </c>
      <c r="N152" s="10">
        <f t="shared" si="49"/>
        <v>42178.9</v>
      </c>
    </row>
    <row r="153" spans="1:14" x14ac:dyDescent="0.2">
      <c r="A153" s="17" t="s">
        <v>110</v>
      </c>
      <c r="B153" s="10">
        <v>1123.3599999999999</v>
      </c>
      <c r="C153" s="10">
        <v>2012.88</v>
      </c>
      <c r="D153" s="10">
        <v>2648.28</v>
      </c>
      <c r="E153" s="10">
        <v>2569.52</v>
      </c>
      <c r="F153" s="10">
        <v>1312.48</v>
      </c>
      <c r="G153" s="10">
        <v>1495.04</v>
      </c>
      <c r="H153" s="10">
        <v>541.91999999999996</v>
      </c>
      <c r="I153" s="10">
        <v>3013.36</v>
      </c>
      <c r="J153" s="10">
        <v>1482.72</v>
      </c>
      <c r="K153" s="10">
        <v>3320.48</v>
      </c>
      <c r="L153" s="10">
        <v>715.2</v>
      </c>
      <c r="M153" s="10">
        <v>1420</v>
      </c>
      <c r="N153" s="10">
        <f t="shared" si="49"/>
        <v>21655.24</v>
      </c>
    </row>
    <row r="154" spans="1:14" x14ac:dyDescent="0.2">
      <c r="A154" s="17" t="s">
        <v>111</v>
      </c>
      <c r="B154" s="10">
        <v>7974.05</v>
      </c>
      <c r="C154" s="10">
        <v>131.84</v>
      </c>
      <c r="D154" s="10">
        <v>131.6</v>
      </c>
      <c r="E154" s="10">
        <v>0</v>
      </c>
      <c r="F154" s="10">
        <v>0</v>
      </c>
      <c r="G154" s="10">
        <v>7988.06</v>
      </c>
      <c r="H154" s="10">
        <v>4017.84</v>
      </c>
      <c r="I154" s="10">
        <v>0</v>
      </c>
      <c r="J154" s="10">
        <v>3925.51</v>
      </c>
      <c r="K154" s="10">
        <v>0</v>
      </c>
      <c r="L154" s="10">
        <v>0</v>
      </c>
      <c r="M154" s="10">
        <v>4175.55</v>
      </c>
      <c r="N154" s="10">
        <f t="shared" si="49"/>
        <v>28344.45</v>
      </c>
    </row>
    <row r="155" spans="1:14" x14ac:dyDescent="0.2">
      <c r="A155" s="16" t="s">
        <v>112</v>
      </c>
      <c r="B155" s="9">
        <f t="shared" ref="B155:N155" si="50">SUM(B148:B154)</f>
        <v>28034.170000000002</v>
      </c>
      <c r="C155" s="9">
        <f t="shared" si="50"/>
        <v>18040.57</v>
      </c>
      <c r="D155" s="9">
        <f t="shared" si="50"/>
        <v>29606.17</v>
      </c>
      <c r="E155" s="9">
        <f t="shared" si="50"/>
        <v>14447.900000000001</v>
      </c>
      <c r="F155" s="9">
        <f t="shared" si="50"/>
        <v>17969.71</v>
      </c>
      <c r="G155" s="9">
        <f t="shared" si="50"/>
        <v>26110.52</v>
      </c>
      <c r="H155" s="9">
        <f t="shared" si="50"/>
        <v>16921.310000000001</v>
      </c>
      <c r="I155" s="9">
        <f t="shared" si="50"/>
        <v>24907.829999999998</v>
      </c>
      <c r="J155" s="9">
        <f t="shared" si="50"/>
        <v>21270.270000000004</v>
      </c>
      <c r="K155" s="9">
        <f t="shared" si="50"/>
        <v>19862.87</v>
      </c>
      <c r="L155" s="9">
        <f t="shared" si="50"/>
        <v>14774.14</v>
      </c>
      <c r="M155" s="9">
        <f t="shared" si="50"/>
        <v>21998.7</v>
      </c>
      <c r="N155" s="9">
        <f t="shared" si="50"/>
        <v>253944.15999999997</v>
      </c>
    </row>
    <row r="156" spans="1:14" ht="4.95" customHeight="1" x14ac:dyDescent="0.2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spans="1:14" ht="4.95" customHeight="1" x14ac:dyDescent="0.2"/>
    <row r="158" spans="1:14" x14ac:dyDescent="0.2">
      <c r="A158" s="16" t="s">
        <v>113</v>
      </c>
      <c r="B158" s="9">
        <f t="shared" ref="B158:N158" si="51">B145+B155</f>
        <v>151621.96</v>
      </c>
      <c r="C158" s="9">
        <f t="shared" si="51"/>
        <v>150367.77000000002</v>
      </c>
      <c r="D158" s="9">
        <f t="shared" si="51"/>
        <v>171203.56</v>
      </c>
      <c r="E158" s="9">
        <f t="shared" si="51"/>
        <v>145776.98000000001</v>
      </c>
      <c r="F158" s="9">
        <f t="shared" si="51"/>
        <v>157595.30999999997</v>
      </c>
      <c r="G158" s="9">
        <f t="shared" si="51"/>
        <v>152794.32</v>
      </c>
      <c r="H158" s="9">
        <f t="shared" si="51"/>
        <v>166586.91</v>
      </c>
      <c r="I158" s="9">
        <f t="shared" si="51"/>
        <v>162526.85</v>
      </c>
      <c r="J158" s="9">
        <f t="shared" si="51"/>
        <v>146783.47000000003</v>
      </c>
      <c r="K158" s="9">
        <f t="shared" si="51"/>
        <v>143355.03</v>
      </c>
      <c r="L158" s="9">
        <f t="shared" si="51"/>
        <v>140600.45000000001</v>
      </c>
      <c r="M158" s="9">
        <f t="shared" si="51"/>
        <v>133735.62</v>
      </c>
      <c r="N158" s="9">
        <f t="shared" si="51"/>
        <v>1822948.2299999997</v>
      </c>
    </row>
    <row r="159" spans="1:14" ht="4.95" customHeight="1" x14ac:dyDescent="0.2"/>
    <row r="160" spans="1:14" x14ac:dyDescent="0.2">
      <c r="A160" s="16" t="s">
        <v>114</v>
      </c>
    </row>
    <row r="161" spans="1:14" x14ac:dyDescent="0.2">
      <c r="A161" s="17" t="s">
        <v>115</v>
      </c>
      <c r="B161" s="10">
        <v>1798.09</v>
      </c>
      <c r="C161" s="10">
        <v>1680.91</v>
      </c>
      <c r="D161" s="10">
        <v>2551.85</v>
      </c>
      <c r="E161" s="10">
        <v>759.47</v>
      </c>
      <c r="F161" s="10">
        <v>1600.15</v>
      </c>
      <c r="G161" s="10">
        <v>798.44</v>
      </c>
      <c r="H161" s="10">
        <v>1223.27</v>
      </c>
      <c r="I161" s="10">
        <v>752.12</v>
      </c>
      <c r="J161" s="10">
        <v>1145.1099999999999</v>
      </c>
      <c r="K161" s="10">
        <v>1302.07</v>
      </c>
      <c r="L161" s="10">
        <v>1627.07</v>
      </c>
      <c r="M161" s="10">
        <v>965.66</v>
      </c>
      <c r="N161" s="10">
        <f t="shared" ref="N161:N184" si="52">B161+C161+D161+E161+F161+G161+H161+I161+J161+K161+L161+M161</f>
        <v>16204.210000000003</v>
      </c>
    </row>
    <row r="162" spans="1:14" x14ac:dyDescent="0.2">
      <c r="A162" s="17" t="s">
        <v>116</v>
      </c>
      <c r="B162" s="10">
        <v>22521.96</v>
      </c>
      <c r="C162" s="10">
        <v>30255.14</v>
      </c>
      <c r="D162" s="10">
        <v>21250.639999999999</v>
      </c>
      <c r="E162" s="10">
        <v>19329.39</v>
      </c>
      <c r="F162" s="10">
        <v>19603.57</v>
      </c>
      <c r="G162" s="10">
        <v>18163.919999999998</v>
      </c>
      <c r="H162" s="10">
        <v>17072.14</v>
      </c>
      <c r="I162" s="10">
        <v>13230.55</v>
      </c>
      <c r="J162" s="10">
        <v>21086.01</v>
      </c>
      <c r="K162" s="10">
        <v>19991.39</v>
      </c>
      <c r="L162" s="10">
        <v>22569.31</v>
      </c>
      <c r="M162" s="10">
        <v>16749.34</v>
      </c>
      <c r="N162" s="10">
        <f t="shared" si="52"/>
        <v>241823.36000000002</v>
      </c>
    </row>
    <row r="163" spans="1:14" x14ac:dyDescent="0.2">
      <c r="A163" s="17" t="s">
        <v>117</v>
      </c>
      <c r="B163" s="10">
        <v>4042.59</v>
      </c>
      <c r="C163" s="10">
        <v>7567.79</v>
      </c>
      <c r="D163" s="10">
        <v>4055.94</v>
      </c>
      <c r="E163" s="10">
        <v>4055.94</v>
      </c>
      <c r="F163" s="10">
        <v>4055.94</v>
      </c>
      <c r="G163" s="10">
        <v>4055.93</v>
      </c>
      <c r="H163" s="10">
        <v>4055.93</v>
      </c>
      <c r="I163" s="10">
        <v>4055.93</v>
      </c>
      <c r="J163" s="10">
        <v>4562.54</v>
      </c>
      <c r="K163" s="10">
        <v>4055.94</v>
      </c>
      <c r="L163" s="10">
        <v>4055.94</v>
      </c>
      <c r="M163" s="10">
        <v>4055.94</v>
      </c>
      <c r="N163" s="10">
        <f t="shared" si="52"/>
        <v>52676.350000000006</v>
      </c>
    </row>
    <row r="164" spans="1:14" x14ac:dyDescent="0.2">
      <c r="A164" s="17" t="s">
        <v>118</v>
      </c>
      <c r="B164" s="10">
        <v>462.98</v>
      </c>
      <c r="C164" s="10">
        <v>0</v>
      </c>
      <c r="D164" s="10">
        <v>0</v>
      </c>
      <c r="E164" s="10">
        <v>631.09</v>
      </c>
      <c r="F164" s="10">
        <v>473.31</v>
      </c>
      <c r="G164" s="10">
        <v>0</v>
      </c>
      <c r="H164" s="10">
        <v>1525.54</v>
      </c>
      <c r="I164" s="10">
        <v>384.36</v>
      </c>
      <c r="J164" s="10">
        <v>0</v>
      </c>
      <c r="K164" s="10">
        <v>482.68</v>
      </c>
      <c r="L164" s="10">
        <v>497.68</v>
      </c>
      <c r="M164" s="10">
        <v>786.62</v>
      </c>
      <c r="N164" s="10">
        <f t="shared" si="52"/>
        <v>5244.26</v>
      </c>
    </row>
    <row r="165" spans="1:14" x14ac:dyDescent="0.2">
      <c r="A165" s="17" t="s">
        <v>119</v>
      </c>
      <c r="B165" s="10">
        <v>387.22</v>
      </c>
      <c r="C165" s="10">
        <v>109.38</v>
      </c>
      <c r="D165" s="10">
        <v>1321.36</v>
      </c>
      <c r="E165" s="10">
        <v>-252.72</v>
      </c>
      <c r="F165" s="10">
        <v>-120</v>
      </c>
      <c r="G165" s="10">
        <v>400</v>
      </c>
      <c r="H165" s="10">
        <v>1580.1</v>
      </c>
      <c r="I165" s="10">
        <v>72</v>
      </c>
      <c r="J165" s="10">
        <v>-971.68</v>
      </c>
      <c r="K165" s="10">
        <v>334.82</v>
      </c>
      <c r="L165" s="10">
        <v>759.96</v>
      </c>
      <c r="M165" s="10">
        <v>366.86</v>
      </c>
      <c r="N165" s="10">
        <f t="shared" si="52"/>
        <v>3987.3000000000006</v>
      </c>
    </row>
    <row r="166" spans="1:14" x14ac:dyDescent="0.2">
      <c r="A166" s="17" t="s">
        <v>120</v>
      </c>
      <c r="B166" s="10">
        <v>0</v>
      </c>
      <c r="C166" s="10">
        <v>0</v>
      </c>
      <c r="D166" s="10">
        <v>1571.08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65.400000000000006</v>
      </c>
      <c r="M166" s="10">
        <v>-1571.08</v>
      </c>
      <c r="N166" s="10">
        <f t="shared" si="52"/>
        <v>65.400000000000091</v>
      </c>
    </row>
    <row r="167" spans="1:14" x14ac:dyDescent="0.2">
      <c r="A167" s="17" t="s">
        <v>121</v>
      </c>
      <c r="B167" s="10">
        <v>2882.98</v>
      </c>
      <c r="C167" s="10">
        <v>385.05</v>
      </c>
      <c r="D167" s="10">
        <v>189.6</v>
      </c>
      <c r="E167" s="10">
        <v>2244.7199999999998</v>
      </c>
      <c r="F167" s="10">
        <v>169.95</v>
      </c>
      <c r="G167" s="10">
        <v>365.88</v>
      </c>
      <c r="H167" s="10">
        <v>223.05</v>
      </c>
      <c r="I167" s="10">
        <v>2786.05</v>
      </c>
      <c r="J167" s="10">
        <v>215.55</v>
      </c>
      <c r="K167" s="10">
        <v>176.55</v>
      </c>
      <c r="L167" s="10">
        <v>414.45</v>
      </c>
      <c r="M167" s="10">
        <v>-1910.52</v>
      </c>
      <c r="N167" s="10">
        <f t="shared" si="52"/>
        <v>8143.3099999999995</v>
      </c>
    </row>
    <row r="168" spans="1:14" x14ac:dyDescent="0.2">
      <c r="A168" s="17" t="s">
        <v>122</v>
      </c>
      <c r="B168" s="10">
        <v>291.89999999999998</v>
      </c>
      <c r="C168" s="10">
        <v>291.83</v>
      </c>
      <c r="D168" s="10">
        <v>323.42</v>
      </c>
      <c r="E168" s="10">
        <v>343.48</v>
      </c>
      <c r="F168" s="10">
        <v>293.38</v>
      </c>
      <c r="G168" s="10">
        <v>291.83</v>
      </c>
      <c r="H168" s="10">
        <v>291.11</v>
      </c>
      <c r="I168" s="10">
        <v>306.86</v>
      </c>
      <c r="J168" s="10">
        <v>355.91</v>
      </c>
      <c r="K168" s="10">
        <v>380.87</v>
      </c>
      <c r="L168" s="10">
        <v>311.02999999999997</v>
      </c>
      <c r="M168" s="10">
        <v>310.69</v>
      </c>
      <c r="N168" s="10">
        <f t="shared" si="52"/>
        <v>3792.31</v>
      </c>
    </row>
    <row r="169" spans="1:14" x14ac:dyDescent="0.2">
      <c r="A169" s="17" t="s">
        <v>123</v>
      </c>
      <c r="B169" s="10">
        <v>0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220.42</v>
      </c>
      <c r="K169" s="10">
        <v>0</v>
      </c>
      <c r="L169" s="10">
        <v>360.71</v>
      </c>
      <c r="M169" s="10">
        <v>0</v>
      </c>
      <c r="N169" s="10">
        <f t="shared" si="52"/>
        <v>581.13</v>
      </c>
    </row>
    <row r="170" spans="1:14" x14ac:dyDescent="0.2">
      <c r="A170" s="17" t="s">
        <v>124</v>
      </c>
      <c r="B170" s="10">
        <v>0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50</v>
      </c>
      <c r="I170" s="10">
        <v>287.74</v>
      </c>
      <c r="J170" s="10">
        <v>0</v>
      </c>
      <c r="K170" s="10">
        <v>0</v>
      </c>
      <c r="L170" s="10">
        <v>0</v>
      </c>
      <c r="M170" s="10">
        <v>0</v>
      </c>
      <c r="N170" s="10">
        <f t="shared" si="52"/>
        <v>337.74</v>
      </c>
    </row>
    <row r="171" spans="1:14" x14ac:dyDescent="0.2">
      <c r="A171" s="17" t="s">
        <v>125</v>
      </c>
      <c r="B171" s="10">
        <v>0</v>
      </c>
      <c r="C171" s="10">
        <v>200.78</v>
      </c>
      <c r="D171" s="10">
        <v>0</v>
      </c>
      <c r="E171" s="10">
        <v>0</v>
      </c>
      <c r="F171" s="10">
        <v>1164.46</v>
      </c>
      <c r="G171" s="10">
        <v>0</v>
      </c>
      <c r="H171" s="10">
        <v>177.82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f t="shared" si="52"/>
        <v>1543.06</v>
      </c>
    </row>
    <row r="172" spans="1:14" x14ac:dyDescent="0.2">
      <c r="A172" s="17" t="s">
        <v>126</v>
      </c>
      <c r="B172" s="10">
        <v>5099.9799999999996</v>
      </c>
      <c r="C172" s="10">
        <v>5345.25</v>
      </c>
      <c r="D172" s="10">
        <v>5167.24</v>
      </c>
      <c r="E172" s="10">
        <v>4279.99</v>
      </c>
      <c r="F172" s="10">
        <v>3035.6</v>
      </c>
      <c r="G172" s="10">
        <v>5438.18</v>
      </c>
      <c r="H172" s="10">
        <v>5980.7</v>
      </c>
      <c r="I172" s="10">
        <v>4840.9399999999996</v>
      </c>
      <c r="J172" s="10">
        <v>3430.65</v>
      </c>
      <c r="K172" s="10">
        <v>2251.16</v>
      </c>
      <c r="L172" s="10">
        <v>5625.92</v>
      </c>
      <c r="M172" s="10">
        <v>4096.91</v>
      </c>
      <c r="N172" s="10">
        <f t="shared" si="52"/>
        <v>54592.520000000004</v>
      </c>
    </row>
    <row r="173" spans="1:14" x14ac:dyDescent="0.2">
      <c r="A173" s="17" t="s">
        <v>127</v>
      </c>
      <c r="B173" s="10">
        <v>646.37</v>
      </c>
      <c r="C173" s="10">
        <v>678.29</v>
      </c>
      <c r="D173" s="10">
        <v>522.72</v>
      </c>
      <c r="E173" s="10">
        <v>684.42</v>
      </c>
      <c r="F173" s="10">
        <v>423.64</v>
      </c>
      <c r="G173" s="10">
        <v>1240.67</v>
      </c>
      <c r="H173" s="10">
        <v>474.49</v>
      </c>
      <c r="I173" s="10">
        <v>424.77</v>
      </c>
      <c r="J173" s="10">
        <v>309.7</v>
      </c>
      <c r="K173" s="10">
        <v>775.56</v>
      </c>
      <c r="L173" s="10">
        <v>392.18</v>
      </c>
      <c r="M173" s="10">
        <v>1256.74</v>
      </c>
      <c r="N173" s="10">
        <f t="shared" si="52"/>
        <v>7829.5499999999993</v>
      </c>
    </row>
    <row r="174" spans="1:14" x14ac:dyDescent="0.2">
      <c r="A174" s="17" t="s">
        <v>128</v>
      </c>
      <c r="B174" s="10">
        <v>0</v>
      </c>
      <c r="C174" s="10">
        <v>1010.83</v>
      </c>
      <c r="D174" s="10">
        <v>0</v>
      </c>
      <c r="E174" s="10">
        <v>0</v>
      </c>
      <c r="F174" s="10">
        <v>-165.3</v>
      </c>
      <c r="G174" s="10">
        <v>618.11</v>
      </c>
      <c r="H174" s="10">
        <v>643.69000000000005</v>
      </c>
      <c r="I174" s="10">
        <v>343.99</v>
      </c>
      <c r="J174" s="10">
        <v>166.93</v>
      </c>
      <c r="K174" s="10">
        <v>355.82</v>
      </c>
      <c r="L174" s="10">
        <v>468.49</v>
      </c>
      <c r="M174" s="10">
        <v>0</v>
      </c>
      <c r="N174" s="10">
        <f t="shared" si="52"/>
        <v>3442.5599999999995</v>
      </c>
    </row>
    <row r="175" spans="1:14" x14ac:dyDescent="0.2">
      <c r="A175" s="17" t="s">
        <v>129</v>
      </c>
      <c r="B175" s="10">
        <v>1043.3499999999999</v>
      </c>
      <c r="C175" s="10">
        <v>993.1</v>
      </c>
      <c r="D175" s="10">
        <v>865.19</v>
      </c>
      <c r="E175" s="10">
        <v>1015.94</v>
      </c>
      <c r="F175" s="10">
        <v>1209.78</v>
      </c>
      <c r="G175" s="10">
        <v>716.7</v>
      </c>
      <c r="H175" s="10">
        <v>1177.6099999999999</v>
      </c>
      <c r="I175" s="10">
        <v>881.32</v>
      </c>
      <c r="J175" s="10">
        <v>748.8</v>
      </c>
      <c r="K175" s="10">
        <v>-6.89</v>
      </c>
      <c r="L175" s="10">
        <v>170.32</v>
      </c>
      <c r="M175" s="10">
        <v>811.01</v>
      </c>
      <c r="N175" s="10">
        <f t="shared" si="52"/>
        <v>9626.23</v>
      </c>
    </row>
    <row r="176" spans="1:14" x14ac:dyDescent="0.2">
      <c r="A176" s="17" t="s">
        <v>130</v>
      </c>
      <c r="B176" s="10">
        <v>5322.91</v>
      </c>
      <c r="C176" s="10">
        <v>8999.5400000000009</v>
      </c>
      <c r="D176" s="10">
        <v>18332.080000000002</v>
      </c>
      <c r="E176" s="10">
        <v>7639.56</v>
      </c>
      <c r="F176" s="10">
        <v>2800.69</v>
      </c>
      <c r="G176" s="10">
        <v>5334.52</v>
      </c>
      <c r="H176" s="10">
        <v>6289.58</v>
      </c>
      <c r="I176" s="10">
        <v>9842.68</v>
      </c>
      <c r="J176" s="10">
        <v>1142.56</v>
      </c>
      <c r="K176" s="10">
        <v>580.01</v>
      </c>
      <c r="L176" s="10">
        <v>3282.38</v>
      </c>
      <c r="M176" s="10">
        <v>-801.47</v>
      </c>
      <c r="N176" s="10">
        <f t="shared" si="52"/>
        <v>68765.040000000008</v>
      </c>
    </row>
    <row r="177" spans="1:14" x14ac:dyDescent="0.2">
      <c r="A177" s="17" t="s">
        <v>131</v>
      </c>
      <c r="B177" s="10">
        <v>862.9</v>
      </c>
      <c r="C177" s="10">
        <v>9.83</v>
      </c>
      <c r="D177" s="10">
        <v>452.22</v>
      </c>
      <c r="E177" s="10">
        <v>1348.46</v>
      </c>
      <c r="F177" s="10">
        <v>2900.04</v>
      </c>
      <c r="G177" s="10">
        <v>1377</v>
      </c>
      <c r="H177" s="10">
        <v>2664.53</v>
      </c>
      <c r="I177" s="10">
        <v>2407.7800000000002</v>
      </c>
      <c r="J177" s="10">
        <v>1233.24</v>
      </c>
      <c r="K177" s="10">
        <v>-2273.4499999999998</v>
      </c>
      <c r="L177" s="10">
        <v>2057.64</v>
      </c>
      <c r="M177" s="10">
        <v>512.6</v>
      </c>
      <c r="N177" s="10">
        <f t="shared" si="52"/>
        <v>13552.789999999999</v>
      </c>
    </row>
    <row r="178" spans="1:14" x14ac:dyDescent="0.2">
      <c r="A178" s="17" t="s">
        <v>132</v>
      </c>
      <c r="B178" s="10">
        <v>113.89</v>
      </c>
      <c r="C178" s="10">
        <v>113.89</v>
      </c>
      <c r="D178" s="10">
        <v>113.89</v>
      </c>
      <c r="E178" s="10">
        <v>492.77</v>
      </c>
      <c r="F178" s="10">
        <v>270.83999999999997</v>
      </c>
      <c r="G178" s="10">
        <v>113.89</v>
      </c>
      <c r="H178" s="10">
        <v>113.89</v>
      </c>
      <c r="I178" s="10">
        <v>113.89</v>
      </c>
      <c r="J178" s="10">
        <v>113.89</v>
      </c>
      <c r="K178" s="10">
        <v>113.89</v>
      </c>
      <c r="L178" s="10">
        <v>113.89</v>
      </c>
      <c r="M178" s="10">
        <v>113.89</v>
      </c>
      <c r="N178" s="10">
        <f t="shared" si="52"/>
        <v>1902.5100000000007</v>
      </c>
    </row>
    <row r="179" spans="1:14" x14ac:dyDescent="0.2">
      <c r="A179" s="17" t="s">
        <v>133</v>
      </c>
      <c r="B179" s="10">
        <v>2384.6</v>
      </c>
      <c r="C179" s="10">
        <v>2508.12</v>
      </c>
      <c r="D179" s="10">
        <v>4750.0200000000004</v>
      </c>
      <c r="E179" s="10">
        <v>1084.77</v>
      </c>
      <c r="F179" s="10">
        <v>654.28</v>
      </c>
      <c r="G179" s="10">
        <v>570.03</v>
      </c>
      <c r="H179" s="10">
        <v>48.24</v>
      </c>
      <c r="I179" s="10">
        <v>306.67</v>
      </c>
      <c r="J179" s="10">
        <v>0</v>
      </c>
      <c r="K179" s="10">
        <v>-1211.97</v>
      </c>
      <c r="L179" s="10">
        <v>0</v>
      </c>
      <c r="M179" s="10">
        <v>0</v>
      </c>
      <c r="N179" s="10">
        <f t="shared" si="52"/>
        <v>11094.760000000002</v>
      </c>
    </row>
    <row r="180" spans="1:14" x14ac:dyDescent="0.2">
      <c r="A180" s="17" t="s">
        <v>134</v>
      </c>
      <c r="B180" s="10">
        <v>0</v>
      </c>
      <c r="C180" s="10">
        <v>0</v>
      </c>
      <c r="D180" s="10">
        <v>0</v>
      </c>
      <c r="E180" s="10">
        <v>0</v>
      </c>
      <c r="F180" s="10">
        <v>39.9</v>
      </c>
      <c r="G180" s="10">
        <v>0</v>
      </c>
      <c r="H180" s="10">
        <v>0</v>
      </c>
      <c r="I180" s="10">
        <v>25.91</v>
      </c>
      <c r="J180" s="10">
        <v>0</v>
      </c>
      <c r="K180" s="10">
        <v>12.72</v>
      </c>
      <c r="L180" s="10">
        <v>24.06</v>
      </c>
      <c r="M180" s="10">
        <v>0</v>
      </c>
      <c r="N180" s="10">
        <f t="shared" si="52"/>
        <v>102.59</v>
      </c>
    </row>
    <row r="181" spans="1:14" x14ac:dyDescent="0.2">
      <c r="A181" s="17" t="s">
        <v>135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932.52</v>
      </c>
      <c r="J181" s="10">
        <v>668.98</v>
      </c>
      <c r="K181" s="10">
        <v>529.05999999999995</v>
      </c>
      <c r="L181" s="10">
        <v>661.78</v>
      </c>
      <c r="M181" s="10">
        <v>629.41</v>
      </c>
      <c r="N181" s="10">
        <f t="shared" si="52"/>
        <v>3421.75</v>
      </c>
    </row>
    <row r="182" spans="1:14" x14ac:dyDescent="0.2">
      <c r="A182" s="17" t="s">
        <v>136</v>
      </c>
      <c r="B182" s="10">
        <v>0</v>
      </c>
      <c r="C182" s="10">
        <v>0</v>
      </c>
      <c r="D182" s="10">
        <v>0</v>
      </c>
      <c r="E182" s="10">
        <v>35.979999999999997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f t="shared" si="52"/>
        <v>35.979999999999997</v>
      </c>
    </row>
    <row r="183" spans="1:14" x14ac:dyDescent="0.2">
      <c r="A183" s="17" t="s">
        <v>137</v>
      </c>
      <c r="B183" s="10">
        <v>265</v>
      </c>
      <c r="C183" s="10">
        <v>1453.18</v>
      </c>
      <c r="D183" s="10">
        <v>311.83999999999997</v>
      </c>
      <c r="E183" s="10">
        <v>10</v>
      </c>
      <c r="F183" s="10">
        <v>38</v>
      </c>
      <c r="G183" s="10">
        <v>220.27</v>
      </c>
      <c r="H183" s="10">
        <v>365.77</v>
      </c>
      <c r="I183" s="10">
        <v>264.16000000000003</v>
      </c>
      <c r="J183" s="10">
        <v>126.35</v>
      </c>
      <c r="K183" s="10">
        <v>741.96</v>
      </c>
      <c r="L183" s="10">
        <v>1326.77</v>
      </c>
      <c r="M183" s="10">
        <v>-500</v>
      </c>
      <c r="N183" s="10">
        <f t="shared" si="52"/>
        <v>4623.2999999999993</v>
      </c>
    </row>
    <row r="184" spans="1:14" x14ac:dyDescent="0.2">
      <c r="A184" s="17" t="s">
        <v>138</v>
      </c>
      <c r="B184" s="10">
        <v>6510</v>
      </c>
      <c r="C184" s="10">
        <v>6421</v>
      </c>
      <c r="D184" s="10">
        <v>6924</v>
      </c>
      <c r="E184" s="10">
        <v>6300</v>
      </c>
      <c r="F184" s="10">
        <v>6510</v>
      </c>
      <c r="G184" s="10">
        <v>6300</v>
      </c>
      <c r="H184" s="10">
        <v>6510</v>
      </c>
      <c r="I184" s="10">
        <v>6510</v>
      </c>
      <c r="J184" s="10">
        <v>5560</v>
      </c>
      <c r="K184" s="10">
        <v>5580</v>
      </c>
      <c r="L184" s="10">
        <v>4280</v>
      </c>
      <c r="M184" s="10">
        <v>7440</v>
      </c>
      <c r="N184" s="10">
        <f t="shared" si="52"/>
        <v>74845</v>
      </c>
    </row>
    <row r="185" spans="1:14" ht="4.95" customHeight="1" x14ac:dyDescent="0.2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spans="1:14" ht="4.95" customHeight="1" x14ac:dyDescent="0.2"/>
    <row r="187" spans="1:14" x14ac:dyDescent="0.2">
      <c r="A187" s="16" t="s">
        <v>139</v>
      </c>
      <c r="B187" s="9">
        <f t="shared" ref="B187:N187" si="53">SUM(B161:B184)</f>
        <v>54636.72</v>
      </c>
      <c r="C187" s="9">
        <f t="shared" si="53"/>
        <v>68023.91</v>
      </c>
      <c r="D187" s="9">
        <f t="shared" si="53"/>
        <v>68703.09</v>
      </c>
      <c r="E187" s="9">
        <f t="shared" si="53"/>
        <v>50003.259999999995</v>
      </c>
      <c r="F187" s="9">
        <f t="shared" si="53"/>
        <v>44958.229999999996</v>
      </c>
      <c r="G187" s="9">
        <f t="shared" si="53"/>
        <v>46005.369999999995</v>
      </c>
      <c r="H187" s="9">
        <f t="shared" si="53"/>
        <v>50467.46</v>
      </c>
      <c r="I187" s="9">
        <f t="shared" si="53"/>
        <v>48770.239999999998</v>
      </c>
      <c r="J187" s="9">
        <f t="shared" si="53"/>
        <v>40114.959999999999</v>
      </c>
      <c r="K187" s="9">
        <f t="shared" si="53"/>
        <v>34172.189999999995</v>
      </c>
      <c r="L187" s="9">
        <f t="shared" si="53"/>
        <v>49064.979999999989</v>
      </c>
      <c r="M187" s="9">
        <f t="shared" si="53"/>
        <v>33312.599999999991</v>
      </c>
      <c r="N187" s="9">
        <f t="shared" si="53"/>
        <v>588233.01</v>
      </c>
    </row>
    <row r="188" spans="1:14" ht="4.95" customHeight="1" x14ac:dyDescent="0.2"/>
    <row r="189" spans="1:14" ht="4.95" customHeight="1" x14ac:dyDescent="0.2"/>
    <row r="190" spans="1:14" x14ac:dyDescent="0.2">
      <c r="A190" s="16" t="s">
        <v>140</v>
      </c>
      <c r="B190" s="9">
        <f t="shared" ref="B190:N190" si="54">B158+B187</f>
        <v>206258.68</v>
      </c>
      <c r="C190" s="9">
        <f t="shared" si="54"/>
        <v>218391.68000000002</v>
      </c>
      <c r="D190" s="9">
        <f t="shared" si="54"/>
        <v>239906.65</v>
      </c>
      <c r="E190" s="9">
        <f t="shared" si="54"/>
        <v>195780.24</v>
      </c>
      <c r="F190" s="9">
        <f t="shared" si="54"/>
        <v>202553.53999999998</v>
      </c>
      <c r="G190" s="9">
        <f t="shared" si="54"/>
        <v>198799.69</v>
      </c>
      <c r="H190" s="9">
        <f t="shared" si="54"/>
        <v>217054.37</v>
      </c>
      <c r="I190" s="9">
        <f t="shared" si="54"/>
        <v>211297.09</v>
      </c>
      <c r="J190" s="9">
        <f t="shared" si="54"/>
        <v>186898.43000000002</v>
      </c>
      <c r="K190" s="9">
        <f t="shared" si="54"/>
        <v>177527.22</v>
      </c>
      <c r="L190" s="9">
        <f t="shared" si="54"/>
        <v>189665.43</v>
      </c>
      <c r="M190" s="9">
        <f t="shared" si="54"/>
        <v>167048.21999999997</v>
      </c>
      <c r="N190" s="9">
        <f t="shared" si="54"/>
        <v>2411181.2399999998</v>
      </c>
    </row>
    <row r="191" spans="1:14" ht="4.95" customHeight="1" x14ac:dyDescent="0.2"/>
    <row r="192" spans="1:14" x14ac:dyDescent="0.2">
      <c r="A192" s="7" t="s">
        <v>141</v>
      </c>
      <c r="B192" s="9">
        <f t="shared" ref="B192:N192" si="55">B122-B190</f>
        <v>750758.5</v>
      </c>
      <c r="C192" s="9">
        <f t="shared" si="55"/>
        <v>862794.77999999991</v>
      </c>
      <c r="D192" s="9">
        <f t="shared" si="55"/>
        <v>936625.65</v>
      </c>
      <c r="E192" s="9">
        <f t="shared" si="55"/>
        <v>843143.7300000001</v>
      </c>
      <c r="F192" s="9">
        <f t="shared" si="55"/>
        <v>886157.97999999975</v>
      </c>
      <c r="G192" s="9">
        <f t="shared" si="55"/>
        <v>724423.78</v>
      </c>
      <c r="H192" s="9">
        <f t="shared" si="55"/>
        <v>1084273.0300000003</v>
      </c>
      <c r="I192" s="9">
        <f t="shared" si="55"/>
        <v>737083.36999999988</v>
      </c>
      <c r="J192" s="9">
        <f t="shared" si="55"/>
        <v>707791.17999999993</v>
      </c>
      <c r="K192" s="9">
        <f t="shared" si="55"/>
        <v>744678.53</v>
      </c>
      <c r="L192" s="9">
        <f t="shared" si="55"/>
        <v>779255.72</v>
      </c>
      <c r="M192" s="9">
        <f t="shared" si="55"/>
        <v>437542.11</v>
      </c>
      <c r="N192" s="9">
        <f t="shared" si="55"/>
        <v>9494528.3599999994</v>
      </c>
    </row>
    <row r="193" spans="1:14" ht="4.95" customHeight="1" x14ac:dyDescent="0.2"/>
    <row r="194" spans="1:14" x14ac:dyDescent="0.2">
      <c r="A194" s="16" t="s">
        <v>142</v>
      </c>
    </row>
    <row r="195" spans="1:14" x14ac:dyDescent="0.2">
      <c r="A195" s="16" t="s">
        <v>20</v>
      </c>
    </row>
    <row r="196" spans="1:14" x14ac:dyDescent="0.2">
      <c r="A196" s="17" t="s">
        <v>143</v>
      </c>
      <c r="B196" s="18">
        <v>1923</v>
      </c>
      <c r="C196" s="18">
        <v>1789</v>
      </c>
      <c r="D196" s="18">
        <v>2175</v>
      </c>
      <c r="E196" s="18">
        <v>2023</v>
      </c>
      <c r="F196" s="18">
        <v>2255</v>
      </c>
      <c r="G196" s="18">
        <v>1639</v>
      </c>
      <c r="H196" s="18">
        <v>2984</v>
      </c>
      <c r="I196" s="18">
        <v>1980</v>
      </c>
      <c r="J196" s="18">
        <v>1579</v>
      </c>
      <c r="K196" s="18">
        <v>1417</v>
      </c>
      <c r="L196" s="18">
        <v>1576</v>
      </c>
      <c r="M196" s="18">
        <v>1381</v>
      </c>
      <c r="N196" s="18">
        <f t="shared" ref="N196:N207" si="56">B196+C196+D196+E196+F196+G196+H196+I196+J196+K196+L196+M196</f>
        <v>22721</v>
      </c>
    </row>
    <row r="197" spans="1:14" x14ac:dyDescent="0.2">
      <c r="A197" s="17" t="s">
        <v>144</v>
      </c>
      <c r="B197" s="18">
        <v>194</v>
      </c>
      <c r="C197" s="18">
        <v>220</v>
      </c>
      <c r="D197" s="18">
        <v>171</v>
      </c>
      <c r="E197" s="18">
        <v>240</v>
      </c>
      <c r="F197" s="18">
        <v>197</v>
      </c>
      <c r="G197" s="18">
        <v>161</v>
      </c>
      <c r="H197" s="18">
        <v>96</v>
      </c>
      <c r="I197" s="18">
        <v>134</v>
      </c>
      <c r="J197" s="18">
        <v>253</v>
      </c>
      <c r="K197" s="18">
        <v>247</v>
      </c>
      <c r="L197" s="18">
        <v>297</v>
      </c>
      <c r="M197" s="18">
        <v>117</v>
      </c>
      <c r="N197" s="18">
        <f t="shared" si="56"/>
        <v>2327</v>
      </c>
    </row>
    <row r="198" spans="1:14" x14ac:dyDescent="0.2">
      <c r="A198" s="17" t="s">
        <v>145</v>
      </c>
      <c r="B198" s="18">
        <v>53</v>
      </c>
      <c r="C198" s="18">
        <v>357</v>
      </c>
      <c r="D198" s="18">
        <v>405</v>
      </c>
      <c r="E198" s="18">
        <v>93</v>
      </c>
      <c r="F198" s="18">
        <v>239</v>
      </c>
      <c r="G198" s="18">
        <v>134</v>
      </c>
      <c r="H198" s="18">
        <v>313</v>
      </c>
      <c r="I198" s="18">
        <v>136</v>
      </c>
      <c r="J198" s="18">
        <v>118</v>
      </c>
      <c r="K198" s="18">
        <v>113</v>
      </c>
      <c r="L198" s="18">
        <v>180</v>
      </c>
      <c r="M198" s="18">
        <v>115</v>
      </c>
      <c r="N198" s="18">
        <f t="shared" si="56"/>
        <v>2256</v>
      </c>
    </row>
    <row r="199" spans="1:14" x14ac:dyDescent="0.2">
      <c r="A199" s="17" t="s">
        <v>146</v>
      </c>
      <c r="B199" s="18">
        <v>289</v>
      </c>
      <c r="C199" s="18">
        <v>270</v>
      </c>
      <c r="D199" s="18">
        <v>369</v>
      </c>
      <c r="E199" s="18">
        <v>257</v>
      </c>
      <c r="F199" s="18">
        <v>364</v>
      </c>
      <c r="G199" s="18">
        <v>306</v>
      </c>
      <c r="H199" s="18">
        <v>262</v>
      </c>
      <c r="I199" s="18">
        <v>213</v>
      </c>
      <c r="J199" s="18">
        <v>321</v>
      </c>
      <c r="K199" s="18">
        <v>268</v>
      </c>
      <c r="L199" s="18">
        <v>355</v>
      </c>
      <c r="M199" s="18">
        <v>239</v>
      </c>
      <c r="N199" s="18">
        <f t="shared" si="56"/>
        <v>3513</v>
      </c>
    </row>
    <row r="200" spans="1:14" x14ac:dyDescent="0.2">
      <c r="A200" s="17" t="s">
        <v>147</v>
      </c>
      <c r="B200" s="18">
        <v>1230</v>
      </c>
      <c r="C200" s="18">
        <v>961</v>
      </c>
      <c r="D200" s="18">
        <v>1806</v>
      </c>
      <c r="E200" s="18">
        <v>1326</v>
      </c>
      <c r="F200" s="18">
        <v>1547</v>
      </c>
      <c r="G200" s="18">
        <v>1256</v>
      </c>
      <c r="H200" s="18">
        <v>1735</v>
      </c>
      <c r="I200" s="18">
        <v>1403</v>
      </c>
      <c r="J200" s="18">
        <v>1318</v>
      </c>
      <c r="K200" s="18">
        <v>1299</v>
      </c>
      <c r="L200" s="18">
        <v>2022</v>
      </c>
      <c r="M200" s="18">
        <v>1969</v>
      </c>
      <c r="N200" s="18">
        <f t="shared" si="56"/>
        <v>17872</v>
      </c>
    </row>
    <row r="201" spans="1:14" x14ac:dyDescent="0.2">
      <c r="A201" s="17" t="s">
        <v>148</v>
      </c>
      <c r="B201" s="18">
        <v>665</v>
      </c>
      <c r="C201" s="18">
        <v>759</v>
      </c>
      <c r="D201" s="18">
        <v>880</v>
      </c>
      <c r="E201" s="18">
        <v>836</v>
      </c>
      <c r="F201" s="18">
        <v>892</v>
      </c>
      <c r="G201" s="18">
        <v>571</v>
      </c>
      <c r="H201" s="18">
        <v>585</v>
      </c>
      <c r="I201" s="18">
        <v>599</v>
      </c>
      <c r="J201" s="18">
        <v>686</v>
      </c>
      <c r="K201" s="18">
        <v>974</v>
      </c>
      <c r="L201" s="18">
        <v>775</v>
      </c>
      <c r="M201" s="18">
        <v>484</v>
      </c>
      <c r="N201" s="18">
        <f t="shared" si="56"/>
        <v>8706</v>
      </c>
    </row>
    <row r="202" spans="1:14" x14ac:dyDescent="0.2">
      <c r="A202" s="17" t="s">
        <v>149</v>
      </c>
      <c r="B202" s="18">
        <v>409</v>
      </c>
      <c r="C202" s="18">
        <v>322</v>
      </c>
      <c r="D202" s="18">
        <v>362</v>
      </c>
      <c r="E202" s="18">
        <v>375</v>
      </c>
      <c r="F202" s="18">
        <v>468</v>
      </c>
      <c r="G202" s="18">
        <v>391</v>
      </c>
      <c r="H202" s="18">
        <v>1679</v>
      </c>
      <c r="I202" s="18">
        <v>1462</v>
      </c>
      <c r="J202" s="18">
        <v>971</v>
      </c>
      <c r="K202" s="18">
        <v>602</v>
      </c>
      <c r="L202" s="18">
        <v>485</v>
      </c>
      <c r="M202" s="18">
        <v>248</v>
      </c>
      <c r="N202" s="18">
        <f t="shared" si="56"/>
        <v>7774</v>
      </c>
    </row>
    <row r="203" spans="1:14" x14ac:dyDescent="0.2">
      <c r="A203" s="17" t="s">
        <v>150</v>
      </c>
      <c r="B203" s="18">
        <v>408</v>
      </c>
      <c r="C203" s="18">
        <v>723</v>
      </c>
      <c r="D203" s="18">
        <v>365</v>
      </c>
      <c r="E203" s="18">
        <v>204</v>
      </c>
      <c r="F203" s="18">
        <v>164</v>
      </c>
      <c r="G203" s="18">
        <v>153</v>
      </c>
      <c r="H203" s="18">
        <v>196</v>
      </c>
      <c r="I203" s="18">
        <v>73</v>
      </c>
      <c r="J203" s="18">
        <v>167</v>
      </c>
      <c r="K203" s="18">
        <v>402</v>
      </c>
      <c r="L203" s="18">
        <v>160</v>
      </c>
      <c r="M203" s="18">
        <v>45</v>
      </c>
      <c r="N203" s="18">
        <f t="shared" si="56"/>
        <v>3060</v>
      </c>
    </row>
    <row r="204" spans="1:14" x14ac:dyDescent="0.2">
      <c r="A204" s="17" t="s">
        <v>151</v>
      </c>
      <c r="B204" s="18">
        <v>0</v>
      </c>
      <c r="C204" s="18">
        <v>455</v>
      </c>
      <c r="D204" s="18">
        <v>214</v>
      </c>
      <c r="E204" s="18">
        <v>361</v>
      </c>
      <c r="F204" s="18">
        <v>35</v>
      </c>
      <c r="G204" s="18">
        <v>693</v>
      </c>
      <c r="H204" s="18">
        <v>0</v>
      </c>
      <c r="I204" s="18">
        <v>58</v>
      </c>
      <c r="J204" s="18">
        <v>46</v>
      </c>
      <c r="K204" s="18">
        <v>31</v>
      </c>
      <c r="L204" s="18">
        <v>116</v>
      </c>
      <c r="M204" s="18">
        <v>22</v>
      </c>
      <c r="N204" s="18">
        <f t="shared" si="56"/>
        <v>2031</v>
      </c>
    </row>
    <row r="205" spans="1:14" x14ac:dyDescent="0.2">
      <c r="A205" s="17" t="s">
        <v>152</v>
      </c>
      <c r="B205" s="18">
        <v>232</v>
      </c>
      <c r="C205" s="18">
        <v>173</v>
      </c>
      <c r="D205" s="18">
        <v>146</v>
      </c>
      <c r="E205" s="18">
        <v>50</v>
      </c>
      <c r="F205" s="18">
        <v>138</v>
      </c>
      <c r="G205" s="18">
        <v>98</v>
      </c>
      <c r="H205" s="18">
        <v>165</v>
      </c>
      <c r="I205" s="18">
        <v>108</v>
      </c>
      <c r="J205" s="18">
        <v>203</v>
      </c>
      <c r="K205" s="18">
        <v>106</v>
      </c>
      <c r="L205" s="18">
        <v>154</v>
      </c>
      <c r="M205" s="18">
        <v>88</v>
      </c>
      <c r="N205" s="18">
        <f t="shared" si="56"/>
        <v>1661</v>
      </c>
    </row>
    <row r="206" spans="1:14" x14ac:dyDescent="0.2">
      <c r="A206" s="17" t="s">
        <v>153</v>
      </c>
      <c r="B206" s="18">
        <v>67</v>
      </c>
      <c r="C206" s="18">
        <v>664</v>
      </c>
      <c r="D206" s="18">
        <v>389</v>
      </c>
      <c r="E206" s="18">
        <v>733</v>
      </c>
      <c r="F206" s="18">
        <v>784</v>
      </c>
      <c r="G206" s="18">
        <v>630</v>
      </c>
      <c r="H206" s="18">
        <v>152</v>
      </c>
      <c r="I206" s="18">
        <v>623</v>
      </c>
      <c r="J206" s="18">
        <v>343</v>
      </c>
      <c r="K206" s="18">
        <v>438</v>
      </c>
      <c r="L206" s="18">
        <v>596</v>
      </c>
      <c r="M206" s="18">
        <v>211</v>
      </c>
      <c r="N206" s="18">
        <f t="shared" si="56"/>
        <v>5630</v>
      </c>
    </row>
    <row r="207" spans="1:14" x14ac:dyDescent="0.2">
      <c r="A207" s="17" t="s">
        <v>154</v>
      </c>
      <c r="B207" s="18">
        <v>391</v>
      </c>
      <c r="C207" s="18">
        <v>357</v>
      </c>
      <c r="D207" s="18">
        <v>0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f t="shared" si="56"/>
        <v>748</v>
      </c>
    </row>
    <row r="208" spans="1:14" ht="4.95" customHeight="1" x14ac:dyDescent="0.2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</row>
    <row r="209" spans="1:14" ht="4.95" customHeight="1" x14ac:dyDescent="0.2"/>
    <row r="210" spans="1:14" x14ac:dyDescent="0.2">
      <c r="A210" s="16" t="s">
        <v>155</v>
      </c>
      <c r="B210" s="8">
        <f t="shared" ref="B210:N210" si="57">SUM(B196:B207)</f>
        <v>5861</v>
      </c>
      <c r="C210" s="8">
        <f t="shared" si="57"/>
        <v>7050</v>
      </c>
      <c r="D210" s="8">
        <f t="shared" si="57"/>
        <v>7282</v>
      </c>
      <c r="E210" s="8">
        <f t="shared" si="57"/>
        <v>6498</v>
      </c>
      <c r="F210" s="8">
        <f t="shared" si="57"/>
        <v>7083</v>
      </c>
      <c r="G210" s="8">
        <f t="shared" si="57"/>
        <v>6032</v>
      </c>
      <c r="H210" s="8">
        <f t="shared" si="57"/>
        <v>8167</v>
      </c>
      <c r="I210" s="8">
        <f t="shared" si="57"/>
        <v>6789</v>
      </c>
      <c r="J210" s="8">
        <f t="shared" si="57"/>
        <v>6005</v>
      </c>
      <c r="K210" s="8">
        <f t="shared" si="57"/>
        <v>5897</v>
      </c>
      <c r="L210" s="8">
        <f t="shared" si="57"/>
        <v>6716</v>
      </c>
      <c r="M210" s="8">
        <f t="shared" si="57"/>
        <v>4919</v>
      </c>
      <c r="N210" s="8">
        <f t="shared" si="57"/>
        <v>78299</v>
      </c>
    </row>
    <row r="211" spans="1:14" ht="4.95" customHeight="1" x14ac:dyDescent="0.2"/>
    <row r="212" spans="1:14" ht="4.95" customHeight="1" x14ac:dyDescent="0.2"/>
    <row r="213" spans="1:14" ht="4.95" customHeight="1" x14ac:dyDescent="0.2"/>
    <row r="214" spans="1:14" x14ac:dyDescent="0.2">
      <c r="A214" s="17" t="s">
        <v>156</v>
      </c>
      <c r="B214" s="18">
        <v>7553</v>
      </c>
      <c r="C214" s="18">
        <v>9015</v>
      </c>
      <c r="D214" s="18">
        <v>10058</v>
      </c>
      <c r="E214" s="18">
        <v>9396</v>
      </c>
      <c r="F214" s="18">
        <v>9642</v>
      </c>
      <c r="G214" s="18">
        <v>8588</v>
      </c>
      <c r="H214" s="18">
        <v>11329</v>
      </c>
      <c r="I214" s="18">
        <v>9406</v>
      </c>
      <c r="J214" s="18">
        <v>7672</v>
      </c>
      <c r="K214" s="18">
        <v>7569</v>
      </c>
      <c r="L214" s="18">
        <v>9537</v>
      </c>
      <c r="M214" s="18">
        <v>6999</v>
      </c>
      <c r="N214" s="18">
        <f>B214+C214+D214+E214+F214+G214+H214+I214+J214+K214+L214+M214</f>
        <v>106764</v>
      </c>
    </row>
    <row r="215" spans="1:14" x14ac:dyDescent="0.2">
      <c r="A215" s="17" t="s">
        <v>157</v>
      </c>
      <c r="B215" s="18">
        <v>369</v>
      </c>
      <c r="C215" s="18">
        <v>131</v>
      </c>
      <c r="D215" s="18">
        <v>16</v>
      </c>
      <c r="E215" s="18">
        <v>51</v>
      </c>
      <c r="F215" s="18">
        <v>408</v>
      </c>
      <c r="G215" s="18">
        <v>1657</v>
      </c>
      <c r="H215" s="18">
        <v>75</v>
      </c>
      <c r="I215" s="18">
        <v>55</v>
      </c>
      <c r="J215" s="18">
        <v>47</v>
      </c>
      <c r="K215" s="18">
        <v>96</v>
      </c>
      <c r="L215" s="18">
        <v>72</v>
      </c>
      <c r="M215" s="18">
        <v>1028</v>
      </c>
      <c r="N215" s="18">
        <f>B215+C215+D215+E215+F215+G215+H215+I215+J215+K215+L215+M215</f>
        <v>4005</v>
      </c>
    </row>
    <row r="216" spans="1:14" x14ac:dyDescent="0.2">
      <c r="A216" s="17" t="s">
        <v>158</v>
      </c>
      <c r="B216" s="18">
        <v>46</v>
      </c>
      <c r="C216" s="18">
        <v>6</v>
      </c>
      <c r="D216" s="18">
        <v>8</v>
      </c>
      <c r="E216" s="18">
        <v>0</v>
      </c>
      <c r="F216" s="18">
        <v>12</v>
      </c>
      <c r="G216" s="18">
        <v>12</v>
      </c>
      <c r="H216" s="18">
        <v>47</v>
      </c>
      <c r="I216" s="18">
        <v>6</v>
      </c>
      <c r="J216" s="18">
        <v>37</v>
      </c>
      <c r="K216" s="18">
        <v>53</v>
      </c>
      <c r="L216" s="18">
        <v>34</v>
      </c>
      <c r="M216" s="18">
        <v>72</v>
      </c>
      <c r="N216" s="18">
        <f>B216+C216+D216+E216+F216+G216+H216+I216+J216+K216+L216+M216</f>
        <v>333</v>
      </c>
    </row>
    <row r="217" spans="1:14" x14ac:dyDescent="0.2">
      <c r="A217" s="17" t="s">
        <v>159</v>
      </c>
      <c r="B217" s="18">
        <v>19</v>
      </c>
      <c r="C217" s="18">
        <v>22</v>
      </c>
      <c r="D217" s="18">
        <v>23</v>
      </c>
      <c r="E217" s="18">
        <v>18</v>
      </c>
      <c r="F217" s="18">
        <v>22</v>
      </c>
      <c r="G217" s="18">
        <v>16</v>
      </c>
      <c r="H217" s="18">
        <v>21</v>
      </c>
      <c r="I217" s="18">
        <v>22</v>
      </c>
      <c r="J217" s="18">
        <v>18</v>
      </c>
      <c r="K217" s="18">
        <v>23</v>
      </c>
      <c r="L217" s="18">
        <v>24</v>
      </c>
      <c r="M217" s="18">
        <v>17</v>
      </c>
      <c r="N217" s="18">
        <f>B217+C217+D217+E217+F217+G217+H217+I217+J217+K217+L217+M217</f>
        <v>245</v>
      </c>
    </row>
    <row r="218" spans="1:14" x14ac:dyDescent="0.2">
      <c r="A218" s="17" t="s">
        <v>160</v>
      </c>
      <c r="B218" s="18">
        <v>5752</v>
      </c>
      <c r="C218" s="18">
        <v>4065</v>
      </c>
      <c r="D218" s="18">
        <v>4722</v>
      </c>
      <c r="E218" s="18">
        <v>5091</v>
      </c>
      <c r="F218" s="18">
        <v>4525</v>
      </c>
      <c r="G218" s="18">
        <v>3939</v>
      </c>
      <c r="H218" s="18">
        <v>3739</v>
      </c>
      <c r="I218" s="18">
        <v>5178</v>
      </c>
      <c r="J218" s="18">
        <v>5551</v>
      </c>
      <c r="K218" s="18">
        <v>5982</v>
      </c>
      <c r="L218" s="18">
        <v>4818</v>
      </c>
      <c r="M218" s="18">
        <v>6009</v>
      </c>
      <c r="N218" s="18">
        <f>B218+C218+D218+E218+F218+G218+H218+I218+J218+K218+L218+M218</f>
        <v>59371</v>
      </c>
    </row>
    <row r="219" spans="1:14" ht="4.95" customHeight="1" x14ac:dyDescent="0.2"/>
    <row r="220" spans="1:14" ht="4.95" customHeight="1" x14ac:dyDescent="0.2"/>
    <row r="221" spans="1:14" x14ac:dyDescent="0.2">
      <c r="A221" s="16" t="s">
        <v>161</v>
      </c>
    </row>
    <row r="222" spans="1:14" x14ac:dyDescent="0.2">
      <c r="A222" s="17" t="s">
        <v>143</v>
      </c>
      <c r="B222" s="10">
        <v>194.63</v>
      </c>
      <c r="C222" s="10">
        <v>185.01</v>
      </c>
      <c r="D222" s="10">
        <v>188.63</v>
      </c>
      <c r="E222" s="10">
        <v>178.01</v>
      </c>
      <c r="F222" s="10">
        <v>174.24</v>
      </c>
      <c r="G222" s="10">
        <v>172.23</v>
      </c>
      <c r="H222" s="10">
        <v>184.43</v>
      </c>
      <c r="I222" s="10">
        <v>155.30000000000001</v>
      </c>
      <c r="J222" s="10">
        <v>165.71</v>
      </c>
      <c r="K222" s="10">
        <v>172.14</v>
      </c>
      <c r="L222" s="10">
        <v>169.35</v>
      </c>
      <c r="M222" s="10">
        <v>142.66</v>
      </c>
      <c r="N222" s="10">
        <v>175.09</v>
      </c>
    </row>
    <row r="223" spans="1:14" x14ac:dyDescent="0.2">
      <c r="A223" s="17" t="s">
        <v>144</v>
      </c>
      <c r="B223" s="10">
        <v>164.07</v>
      </c>
      <c r="C223" s="10">
        <v>192.28</v>
      </c>
      <c r="D223" s="10">
        <v>187.44</v>
      </c>
      <c r="E223" s="10">
        <v>178.9</v>
      </c>
      <c r="F223" s="10">
        <v>174.98</v>
      </c>
      <c r="G223" s="10">
        <v>172.88</v>
      </c>
      <c r="H223" s="10">
        <v>171.11</v>
      </c>
      <c r="I223" s="10">
        <v>157.80000000000001</v>
      </c>
      <c r="J223" s="10">
        <v>175.87</v>
      </c>
      <c r="K223" s="10">
        <v>174.47</v>
      </c>
      <c r="L223" s="10">
        <v>176.01</v>
      </c>
      <c r="M223" s="10">
        <v>131.76</v>
      </c>
      <c r="N223" s="10">
        <v>173.73</v>
      </c>
    </row>
    <row r="224" spans="1:14" x14ac:dyDescent="0.2">
      <c r="A224" s="17" t="s">
        <v>145</v>
      </c>
      <c r="B224" s="10">
        <v>122</v>
      </c>
      <c r="C224" s="10">
        <v>122.29</v>
      </c>
      <c r="D224" s="10">
        <v>123.57</v>
      </c>
      <c r="E224" s="10">
        <v>122.88</v>
      </c>
      <c r="F224" s="10">
        <v>122.86</v>
      </c>
      <c r="G224" s="10">
        <v>123.02</v>
      </c>
      <c r="H224" s="10">
        <v>123.17</v>
      </c>
      <c r="I224" s="10">
        <v>122</v>
      </c>
      <c r="J224" s="10">
        <v>128.03</v>
      </c>
      <c r="K224" s="10">
        <v>127.24</v>
      </c>
      <c r="L224" s="10">
        <v>128.18</v>
      </c>
      <c r="M224" s="10">
        <v>128.33000000000001</v>
      </c>
      <c r="N224" s="10">
        <v>124.07</v>
      </c>
    </row>
    <row r="225" spans="1:14" x14ac:dyDescent="0.2">
      <c r="A225" s="17" t="s">
        <v>146</v>
      </c>
      <c r="B225" s="10">
        <v>206.76</v>
      </c>
      <c r="C225" s="10">
        <v>180.97</v>
      </c>
      <c r="D225" s="10">
        <v>178.48</v>
      </c>
      <c r="E225" s="10">
        <v>169.18</v>
      </c>
      <c r="F225" s="10">
        <v>171.42</v>
      </c>
      <c r="G225" s="10">
        <v>166.62</v>
      </c>
      <c r="H225" s="10">
        <v>177.49</v>
      </c>
      <c r="I225" s="10">
        <v>145.44</v>
      </c>
      <c r="J225" s="10">
        <v>170.75</v>
      </c>
      <c r="K225" s="10">
        <v>181.5</v>
      </c>
      <c r="L225" s="10">
        <v>157.93</v>
      </c>
      <c r="M225" s="10">
        <v>140.16999999999999</v>
      </c>
      <c r="N225" s="10">
        <v>171.32</v>
      </c>
    </row>
    <row r="226" spans="1:14" x14ac:dyDescent="0.2">
      <c r="A226" s="17" t="s">
        <v>147</v>
      </c>
      <c r="B226" s="10">
        <v>136.31</v>
      </c>
      <c r="C226" s="10">
        <v>129.88</v>
      </c>
      <c r="D226" s="10">
        <v>133.62</v>
      </c>
      <c r="E226" s="10">
        <v>128.47</v>
      </c>
      <c r="F226" s="10">
        <v>128.38999999999999</v>
      </c>
      <c r="G226" s="10">
        <v>124.56</v>
      </c>
      <c r="H226" s="10">
        <v>134.47</v>
      </c>
      <c r="I226" s="10">
        <v>116.24</v>
      </c>
      <c r="J226" s="10">
        <v>125.2</v>
      </c>
      <c r="K226" s="10">
        <v>127.56</v>
      </c>
      <c r="L226" s="10">
        <v>114.57</v>
      </c>
      <c r="M226" s="10">
        <v>101.62</v>
      </c>
      <c r="N226" s="10">
        <v>124.11</v>
      </c>
    </row>
    <row r="227" spans="1:14" x14ac:dyDescent="0.2">
      <c r="A227" s="17" t="s">
        <v>148</v>
      </c>
      <c r="B227" s="10">
        <v>160.78</v>
      </c>
      <c r="C227" s="10">
        <v>164.59</v>
      </c>
      <c r="D227" s="10">
        <v>167.92</v>
      </c>
      <c r="E227" s="10">
        <v>166.17</v>
      </c>
      <c r="F227" s="10">
        <v>166.05</v>
      </c>
      <c r="G227" s="10">
        <v>158.99</v>
      </c>
      <c r="H227" s="10">
        <v>160.56</v>
      </c>
      <c r="I227" s="10">
        <v>151.33000000000001</v>
      </c>
      <c r="J227" s="10">
        <v>159.55000000000001</v>
      </c>
      <c r="K227" s="10">
        <v>168.38</v>
      </c>
      <c r="L227" s="10">
        <v>165.56</v>
      </c>
      <c r="M227" s="10">
        <v>131.83000000000001</v>
      </c>
      <c r="N227" s="10">
        <v>161.68</v>
      </c>
    </row>
    <row r="228" spans="1:14" x14ac:dyDescent="0.2">
      <c r="A228" s="17" t="s">
        <v>149</v>
      </c>
      <c r="B228" s="10">
        <v>142.16</v>
      </c>
      <c r="C228" s="10">
        <v>150.47999999999999</v>
      </c>
      <c r="D228" s="10">
        <v>151.59</v>
      </c>
      <c r="E228" s="10">
        <v>137.46</v>
      </c>
      <c r="F228" s="10">
        <v>149.16</v>
      </c>
      <c r="G228" s="10">
        <v>143.85</v>
      </c>
      <c r="H228" s="10">
        <v>147.63999999999999</v>
      </c>
      <c r="I228" s="10">
        <v>146.28</v>
      </c>
      <c r="J228" s="10">
        <v>144.08000000000001</v>
      </c>
      <c r="K228" s="10">
        <v>146.88</v>
      </c>
      <c r="L228" s="10">
        <v>148.83000000000001</v>
      </c>
      <c r="M228" s="10">
        <v>144.69999999999999</v>
      </c>
      <c r="N228" s="10">
        <v>146.28</v>
      </c>
    </row>
    <row r="229" spans="1:14" x14ac:dyDescent="0.2">
      <c r="A229" s="16" t="s">
        <v>162</v>
      </c>
      <c r="B229" s="9">
        <v>169.02</v>
      </c>
      <c r="C229" s="9">
        <v>163.32</v>
      </c>
      <c r="D229" s="9">
        <v>162.47999999999999</v>
      </c>
      <c r="E229" s="9">
        <v>158.97999999999999</v>
      </c>
      <c r="F229" s="9">
        <v>156.94</v>
      </c>
      <c r="G229" s="9">
        <v>152.78</v>
      </c>
      <c r="H229" s="9">
        <v>160.30000000000001</v>
      </c>
      <c r="I229" s="9">
        <v>142.37</v>
      </c>
      <c r="J229" s="9">
        <v>150.68</v>
      </c>
      <c r="K229" s="9">
        <v>156.13</v>
      </c>
      <c r="L229" s="9">
        <v>145.94999999999999</v>
      </c>
      <c r="M229" s="9">
        <v>123.1</v>
      </c>
      <c r="N229" s="9">
        <v>153.86000000000001</v>
      </c>
    </row>
    <row r="230" spans="1:14" ht="4.95" customHeight="1" x14ac:dyDescent="0.2"/>
    <row r="231" spans="1:14" x14ac:dyDescent="0.2">
      <c r="A231" s="16" t="s">
        <v>163</v>
      </c>
    </row>
    <row r="232" spans="1:14" x14ac:dyDescent="0.2">
      <c r="A232" s="17" t="s">
        <v>150</v>
      </c>
      <c r="B232" s="10">
        <v>143.88999999999999</v>
      </c>
      <c r="C232" s="10">
        <v>149.75</v>
      </c>
      <c r="D232" s="10">
        <v>154.97</v>
      </c>
      <c r="E232" s="10">
        <v>137.12</v>
      </c>
      <c r="F232" s="10">
        <v>155.34</v>
      </c>
      <c r="G232" s="10">
        <v>140.69999999999999</v>
      </c>
      <c r="H232" s="10">
        <v>158.69</v>
      </c>
      <c r="I232" s="10">
        <v>140.1</v>
      </c>
      <c r="J232" s="10">
        <v>169.76</v>
      </c>
      <c r="K232" s="10">
        <v>163.51</v>
      </c>
      <c r="L232" s="10">
        <v>148.88</v>
      </c>
      <c r="M232" s="10">
        <v>117.53</v>
      </c>
      <c r="N232" s="10">
        <v>151.32</v>
      </c>
    </row>
    <row r="233" spans="1:14" x14ac:dyDescent="0.2">
      <c r="A233" s="17" t="s">
        <v>151</v>
      </c>
      <c r="B233" s="10">
        <v>0</v>
      </c>
      <c r="C233" s="10">
        <v>137.27000000000001</v>
      </c>
      <c r="D233" s="10">
        <v>148.33000000000001</v>
      </c>
      <c r="E233" s="10">
        <v>184.89</v>
      </c>
      <c r="F233" s="10">
        <v>163.54</v>
      </c>
      <c r="G233" s="10">
        <v>176.92</v>
      </c>
      <c r="H233" s="10">
        <v>0</v>
      </c>
      <c r="I233" s="10">
        <v>109</v>
      </c>
      <c r="J233" s="10">
        <v>122.07</v>
      </c>
      <c r="K233" s="10">
        <v>169</v>
      </c>
      <c r="L233" s="10">
        <v>129</v>
      </c>
      <c r="M233" s="10">
        <v>120.82</v>
      </c>
      <c r="N233" s="10">
        <v>159.56</v>
      </c>
    </row>
    <row r="234" spans="1:14" x14ac:dyDescent="0.2">
      <c r="A234" s="17" t="s">
        <v>152</v>
      </c>
      <c r="B234" s="10">
        <v>176.38</v>
      </c>
      <c r="C234" s="10">
        <v>117.63</v>
      </c>
      <c r="D234" s="10">
        <v>150.81</v>
      </c>
      <c r="E234" s="10">
        <v>144.63999999999999</v>
      </c>
      <c r="F234" s="10">
        <v>127.2</v>
      </c>
      <c r="G234" s="10">
        <v>115.41</v>
      </c>
      <c r="H234" s="10">
        <v>131.15</v>
      </c>
      <c r="I234" s="10">
        <v>100.98</v>
      </c>
      <c r="J234" s="10">
        <v>129.62</v>
      </c>
      <c r="K234" s="10">
        <v>123.43</v>
      </c>
      <c r="L234" s="10">
        <v>114.38</v>
      </c>
      <c r="M234" s="10">
        <v>102.63</v>
      </c>
      <c r="N234" s="10">
        <v>131.22999999999999</v>
      </c>
    </row>
    <row r="235" spans="1:14" x14ac:dyDescent="0.2">
      <c r="A235" s="17" t="s">
        <v>153</v>
      </c>
      <c r="B235" s="10">
        <v>125.15</v>
      </c>
      <c r="C235" s="10">
        <v>144.08000000000001</v>
      </c>
      <c r="D235" s="10">
        <v>157.02000000000001</v>
      </c>
      <c r="E235" s="10">
        <v>153.28</v>
      </c>
      <c r="F235" s="10">
        <v>122.94</v>
      </c>
      <c r="G235" s="10">
        <v>136.76</v>
      </c>
      <c r="H235" s="10">
        <v>127.64</v>
      </c>
      <c r="I235" s="10">
        <v>126.17</v>
      </c>
      <c r="J235" s="10">
        <v>135.94999999999999</v>
      </c>
      <c r="K235" s="10">
        <v>131.81</v>
      </c>
      <c r="L235" s="10">
        <v>128.31</v>
      </c>
      <c r="M235" s="10">
        <v>123.84</v>
      </c>
      <c r="N235" s="10">
        <v>135.88</v>
      </c>
    </row>
    <row r="236" spans="1:14" x14ac:dyDescent="0.2">
      <c r="A236" s="16" t="s">
        <v>164</v>
      </c>
      <c r="B236" s="9">
        <v>152.77000000000001</v>
      </c>
      <c r="C236" s="9">
        <v>142.31</v>
      </c>
      <c r="D236" s="9">
        <v>153.87</v>
      </c>
      <c r="E236" s="9">
        <v>158.97999999999999</v>
      </c>
      <c r="F236" s="9">
        <v>129.47</v>
      </c>
      <c r="G236" s="9">
        <v>153.49</v>
      </c>
      <c r="H236" s="9">
        <v>140.63</v>
      </c>
      <c r="I236" s="9">
        <v>123.04</v>
      </c>
      <c r="J236" s="9">
        <v>140.86000000000001</v>
      </c>
      <c r="K236" s="9">
        <v>145.13</v>
      </c>
      <c r="L236" s="9">
        <v>129.5</v>
      </c>
      <c r="M236" s="9">
        <v>117.78</v>
      </c>
      <c r="N236" s="9">
        <v>142.96</v>
      </c>
    </row>
    <row r="237" spans="1:14" ht="4.95" customHeight="1" x14ac:dyDescent="0.2"/>
    <row r="238" spans="1:14" x14ac:dyDescent="0.2">
      <c r="A238" s="16" t="s">
        <v>165</v>
      </c>
    </row>
    <row r="239" spans="1:14" x14ac:dyDescent="0.2">
      <c r="A239" s="17" t="s">
        <v>154</v>
      </c>
      <c r="B239" s="10">
        <v>79</v>
      </c>
      <c r="C239" s="10">
        <v>79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79</v>
      </c>
    </row>
    <row r="240" spans="1:14" x14ac:dyDescent="0.2">
      <c r="A240" s="16" t="s">
        <v>166</v>
      </c>
      <c r="B240" s="9">
        <v>79</v>
      </c>
      <c r="C240" s="9">
        <v>79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79</v>
      </c>
    </row>
    <row r="241" spans="1:14" ht="4.95" customHeight="1" x14ac:dyDescent="0.2"/>
    <row r="242" spans="1:14" x14ac:dyDescent="0.2">
      <c r="A242" s="17" t="s">
        <v>159</v>
      </c>
      <c r="B242" s="10">
        <v>1115.25</v>
      </c>
      <c r="C242" s="10">
        <v>434.36</v>
      </c>
      <c r="D242" s="10">
        <v>416.24</v>
      </c>
      <c r="E242" s="10">
        <v>330.32</v>
      </c>
      <c r="F242" s="10">
        <v>679.13</v>
      </c>
      <c r="G242" s="10">
        <v>517.37</v>
      </c>
      <c r="H242" s="10">
        <v>1052.8</v>
      </c>
      <c r="I242" s="10">
        <v>316.74</v>
      </c>
      <c r="J242" s="10">
        <v>507.81</v>
      </c>
      <c r="K242" s="10">
        <v>751.41</v>
      </c>
      <c r="L242" s="10">
        <v>489.33</v>
      </c>
      <c r="M242" s="10">
        <v>344.71</v>
      </c>
      <c r="N242" s="10">
        <v>581.99</v>
      </c>
    </row>
    <row r="243" spans="1:14" ht="4.95" customHeight="1" x14ac:dyDescent="0.2"/>
    <row r="244" spans="1:14" ht="4.95" customHeight="1" x14ac:dyDescent="0.2"/>
    <row r="245" spans="1:14" ht="4.95" customHeight="1" x14ac:dyDescent="0.2"/>
    <row r="246" spans="1:14" x14ac:dyDescent="0.2">
      <c r="A246" s="16" t="s">
        <v>167</v>
      </c>
    </row>
    <row r="248" spans="1:14" x14ac:dyDescent="0.2">
      <c r="A248" s="16" t="s">
        <v>168</v>
      </c>
    </row>
    <row r="249" spans="1:14" x14ac:dyDescent="0.2">
      <c r="A249" s="16" t="s">
        <v>169</v>
      </c>
    </row>
    <row r="250" spans="1:14" x14ac:dyDescent="0.2">
      <c r="A250" s="17" t="s">
        <v>170</v>
      </c>
      <c r="B250" s="10">
        <v>2448</v>
      </c>
      <c r="C250" s="10">
        <v>10092.58</v>
      </c>
      <c r="D250" s="10">
        <v>21067.84</v>
      </c>
      <c r="E250" s="10">
        <v>28398</v>
      </c>
      <c r="F250" s="10">
        <v>12656</v>
      </c>
      <c r="G250" s="10">
        <v>4849</v>
      </c>
      <c r="H250" s="10">
        <v>2560</v>
      </c>
      <c r="I250" s="10">
        <v>6590</v>
      </c>
      <c r="J250" s="10">
        <v>39912</v>
      </c>
      <c r="K250" s="10">
        <v>24017</v>
      </c>
      <c r="L250" s="10">
        <v>37190</v>
      </c>
      <c r="M250" s="10">
        <v>409.03</v>
      </c>
      <c r="N250" s="10">
        <f>B250+C250+D250+E250+F250+G250+H250+I250+J250+K250+L250+M250</f>
        <v>190189.44999999998</v>
      </c>
    </row>
    <row r="251" spans="1:14" x14ac:dyDescent="0.2">
      <c r="A251" s="17" t="s">
        <v>171</v>
      </c>
      <c r="B251" s="10">
        <v>8474</v>
      </c>
      <c r="C251" s="10">
        <v>20063.95</v>
      </c>
      <c r="D251" s="10">
        <v>28941.9</v>
      </c>
      <c r="E251" s="10">
        <v>26027</v>
      </c>
      <c r="F251" s="10">
        <v>30331</v>
      </c>
      <c r="G251" s="10">
        <v>28565</v>
      </c>
      <c r="H251" s="10">
        <v>4420</v>
      </c>
      <c r="I251" s="10">
        <v>11087.5</v>
      </c>
      <c r="J251" s="10">
        <v>35489.5</v>
      </c>
      <c r="K251" s="10">
        <v>47447.5</v>
      </c>
      <c r="L251" s="10">
        <v>64947.6</v>
      </c>
      <c r="M251" s="10">
        <v>8880</v>
      </c>
      <c r="N251" s="10">
        <f>B251+C251+D251+E251+F251+G251+H251+I251+J251+K251+L251+M251</f>
        <v>314674.95</v>
      </c>
    </row>
    <row r="252" spans="1:14" x14ac:dyDescent="0.2">
      <c r="A252" s="17" t="s">
        <v>172</v>
      </c>
      <c r="B252" s="10">
        <v>30788</v>
      </c>
      <c r="C252" s="10">
        <v>41518.629999999997</v>
      </c>
      <c r="D252" s="10">
        <v>27552.99</v>
      </c>
      <c r="E252" s="10">
        <v>14425</v>
      </c>
      <c r="F252" s="10">
        <v>34612</v>
      </c>
      <c r="G252" s="10">
        <v>6665</v>
      </c>
      <c r="H252" s="10">
        <v>7184</v>
      </c>
      <c r="I252" s="10">
        <v>19580</v>
      </c>
      <c r="J252" s="10">
        <v>29995</v>
      </c>
      <c r="K252" s="10">
        <v>20659</v>
      </c>
      <c r="L252" s="10">
        <v>51200.4</v>
      </c>
      <c r="M252" s="10">
        <v>32302</v>
      </c>
      <c r="N252" s="10">
        <f>B252+C252+D252+E252+F252+G252+H252+I252+J252+K252+L252+M252</f>
        <v>316482.02</v>
      </c>
    </row>
    <row r="253" spans="1:14" x14ac:dyDescent="0.2">
      <c r="A253" s="17" t="s">
        <v>173</v>
      </c>
      <c r="B253" s="10">
        <v>16927.88</v>
      </c>
      <c r="C253" s="10">
        <v>14379.39</v>
      </c>
      <c r="D253" s="10">
        <v>26850.48</v>
      </c>
      <c r="E253" s="10">
        <v>32380.43</v>
      </c>
      <c r="F253" s="10">
        <v>53234.86</v>
      </c>
      <c r="G253" s="10">
        <v>18364</v>
      </c>
      <c r="H253" s="10">
        <v>4631</v>
      </c>
      <c r="I253" s="10">
        <v>6537.9</v>
      </c>
      <c r="J253" s="10">
        <v>53708</v>
      </c>
      <c r="K253" s="10">
        <v>39746.25</v>
      </c>
      <c r="L253" s="10">
        <v>40643.33</v>
      </c>
      <c r="M253" s="10">
        <v>13678.15</v>
      </c>
      <c r="N253" s="10">
        <f>B253+C253+D253+E253+F253+G253+H253+I253+J253+K253+L253+M253</f>
        <v>321081.67</v>
      </c>
    </row>
    <row r="254" spans="1:14" x14ac:dyDescent="0.2">
      <c r="A254" s="17" t="s">
        <v>174</v>
      </c>
      <c r="B254" s="10">
        <v>0</v>
      </c>
      <c r="C254" s="10">
        <v>0</v>
      </c>
      <c r="D254" s="10">
        <v>0</v>
      </c>
      <c r="E254" s="10">
        <v>0</v>
      </c>
      <c r="F254" s="10">
        <v>3368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f>B254+C254+D254+E254+F254+G254+H254+I254+J254+K254+L254+M254</f>
        <v>3368</v>
      </c>
    </row>
    <row r="255" spans="1:14" ht="4.95" customHeight="1" x14ac:dyDescent="0.2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r="256" spans="1:14" ht="4.95" customHeight="1" x14ac:dyDescent="0.2"/>
    <row r="257" spans="1:14" x14ac:dyDescent="0.2">
      <c r="A257" s="16" t="s">
        <v>175</v>
      </c>
      <c r="B257" s="9">
        <f t="shared" ref="B257:N257" si="58">SUM(B250:B254)</f>
        <v>58637.880000000005</v>
      </c>
      <c r="C257" s="9">
        <f t="shared" si="58"/>
        <v>86054.55</v>
      </c>
      <c r="D257" s="9">
        <f t="shared" si="58"/>
        <v>104413.21</v>
      </c>
      <c r="E257" s="9">
        <f t="shared" si="58"/>
        <v>101230.43</v>
      </c>
      <c r="F257" s="9">
        <f t="shared" si="58"/>
        <v>134201.85999999999</v>
      </c>
      <c r="G257" s="9">
        <f t="shared" si="58"/>
        <v>58443</v>
      </c>
      <c r="H257" s="9">
        <f t="shared" si="58"/>
        <v>18795</v>
      </c>
      <c r="I257" s="9">
        <f t="shared" si="58"/>
        <v>43795.4</v>
      </c>
      <c r="J257" s="9">
        <f t="shared" si="58"/>
        <v>159104.5</v>
      </c>
      <c r="K257" s="9">
        <f t="shared" si="58"/>
        <v>131869.75</v>
      </c>
      <c r="L257" s="9">
        <f t="shared" si="58"/>
        <v>193981.33000000002</v>
      </c>
      <c r="M257" s="9">
        <f t="shared" si="58"/>
        <v>55269.18</v>
      </c>
      <c r="N257" s="9">
        <f t="shared" si="58"/>
        <v>1145796.0900000001</v>
      </c>
    </row>
    <row r="258" spans="1:14" ht="4.95" customHeight="1" x14ac:dyDescent="0.2"/>
    <row r="259" spans="1:14" x14ac:dyDescent="0.2">
      <c r="A259" s="16" t="s">
        <v>176</v>
      </c>
    </row>
    <row r="260" spans="1:14" x14ac:dyDescent="0.2">
      <c r="A260" s="17" t="s">
        <v>177</v>
      </c>
      <c r="B260" s="10">
        <v>1413.68</v>
      </c>
      <c r="C260" s="10">
        <v>930</v>
      </c>
      <c r="D260" s="10">
        <v>1356.57</v>
      </c>
      <c r="E260" s="10">
        <v>1129</v>
      </c>
      <c r="F260" s="10">
        <v>4814.78</v>
      </c>
      <c r="G260" s="10">
        <v>1375</v>
      </c>
      <c r="H260" s="10">
        <v>0</v>
      </c>
      <c r="I260" s="10">
        <v>540.63</v>
      </c>
      <c r="J260" s="10">
        <v>893</v>
      </c>
      <c r="K260" s="10">
        <v>1563</v>
      </c>
      <c r="L260" s="10">
        <v>1925.07</v>
      </c>
      <c r="M260" s="10">
        <v>3364.38</v>
      </c>
      <c r="N260" s="10">
        <f>B260+C260+D260+E260+F260+G260+H260+I260+J260+K260+L260+M260</f>
        <v>19305.109999999997</v>
      </c>
    </row>
    <row r="261" spans="1:14" x14ac:dyDescent="0.2">
      <c r="A261" s="17" t="s">
        <v>178</v>
      </c>
      <c r="B261" s="10">
        <v>3971.06</v>
      </c>
      <c r="C261" s="10">
        <v>5658.24</v>
      </c>
      <c r="D261" s="10">
        <v>854.5</v>
      </c>
      <c r="E261" s="10">
        <v>2138</v>
      </c>
      <c r="F261" s="10">
        <v>4385.09</v>
      </c>
      <c r="G261" s="10">
        <v>2129.52</v>
      </c>
      <c r="H261" s="10">
        <v>0</v>
      </c>
      <c r="I261" s="10">
        <v>346.42</v>
      </c>
      <c r="J261" s="10">
        <v>3118</v>
      </c>
      <c r="K261" s="10">
        <v>1907</v>
      </c>
      <c r="L261" s="10">
        <v>1143.6500000000001</v>
      </c>
      <c r="M261" s="10">
        <v>8082.12</v>
      </c>
      <c r="N261" s="10">
        <f>B261+C261+D261+E261+F261+G261+H261+I261+J261+K261+L261+M261</f>
        <v>33733.599999999999</v>
      </c>
    </row>
    <row r="262" spans="1:14" x14ac:dyDescent="0.2">
      <c r="A262" s="17" t="s">
        <v>179</v>
      </c>
      <c r="B262" s="10">
        <v>1632.29</v>
      </c>
      <c r="C262" s="10">
        <v>1593.96</v>
      </c>
      <c r="D262" s="10">
        <v>2900.44</v>
      </c>
      <c r="E262" s="10">
        <v>1129</v>
      </c>
      <c r="F262" s="10">
        <v>4819</v>
      </c>
      <c r="G262" s="10">
        <v>3318.31</v>
      </c>
      <c r="H262" s="10">
        <v>0</v>
      </c>
      <c r="I262" s="10">
        <v>871.88</v>
      </c>
      <c r="J262" s="10">
        <v>4068</v>
      </c>
      <c r="K262" s="10">
        <v>801</v>
      </c>
      <c r="L262" s="10">
        <v>826.03</v>
      </c>
      <c r="M262" s="10">
        <v>2790.75</v>
      </c>
      <c r="N262" s="10">
        <f>B262+C262+D262+E262+F262+G262+H262+I262+J262+K262+L262+M262</f>
        <v>24750.659999999996</v>
      </c>
    </row>
    <row r="263" spans="1:14" ht="4.95" customHeight="1" x14ac:dyDescent="0.2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</row>
    <row r="264" spans="1:14" ht="4.95" customHeight="1" x14ac:dyDescent="0.2"/>
    <row r="265" spans="1:14" x14ac:dyDescent="0.2">
      <c r="A265" s="16" t="s">
        <v>180</v>
      </c>
      <c r="B265" s="9">
        <f t="shared" ref="B265:N265" si="59">SUM(B260:B262)</f>
        <v>7017.03</v>
      </c>
      <c r="C265" s="9">
        <f t="shared" si="59"/>
        <v>8182.2</v>
      </c>
      <c r="D265" s="9">
        <f t="shared" si="59"/>
        <v>5111.51</v>
      </c>
      <c r="E265" s="9">
        <f t="shared" si="59"/>
        <v>4396</v>
      </c>
      <c r="F265" s="9">
        <f t="shared" si="59"/>
        <v>14018.869999999999</v>
      </c>
      <c r="G265" s="9">
        <f t="shared" si="59"/>
        <v>6822.83</v>
      </c>
      <c r="H265" s="9">
        <f t="shared" si="59"/>
        <v>0</v>
      </c>
      <c r="I265" s="9">
        <f t="shared" si="59"/>
        <v>1758.9299999999998</v>
      </c>
      <c r="J265" s="9">
        <f t="shared" si="59"/>
        <v>8079</v>
      </c>
      <c r="K265" s="9">
        <f t="shared" si="59"/>
        <v>4271</v>
      </c>
      <c r="L265" s="9">
        <f t="shared" si="59"/>
        <v>3894.75</v>
      </c>
      <c r="M265" s="9">
        <f t="shared" si="59"/>
        <v>14237.25</v>
      </c>
      <c r="N265" s="9">
        <f t="shared" si="59"/>
        <v>77789.37</v>
      </c>
    </row>
    <row r="266" spans="1:14" ht="4.95" customHeight="1" x14ac:dyDescent="0.2"/>
    <row r="267" spans="1:14" x14ac:dyDescent="0.2">
      <c r="A267" s="16" t="s">
        <v>181</v>
      </c>
    </row>
    <row r="268" spans="1:14" x14ac:dyDescent="0.2">
      <c r="A268" s="17" t="s">
        <v>182</v>
      </c>
      <c r="B268" s="10">
        <v>13300</v>
      </c>
      <c r="C268" s="10">
        <v>50250</v>
      </c>
      <c r="D268" s="10">
        <v>44650</v>
      </c>
      <c r="E268" s="10">
        <v>18000</v>
      </c>
      <c r="F268" s="10">
        <v>13500</v>
      </c>
      <c r="G268" s="10">
        <v>9300</v>
      </c>
      <c r="H268" s="10">
        <v>13260.61</v>
      </c>
      <c r="I268" s="10">
        <v>28907.439999999999</v>
      </c>
      <c r="J268" s="10">
        <v>14200</v>
      </c>
      <c r="K268" s="10">
        <v>24591.75</v>
      </c>
      <c r="L268" s="10">
        <v>27664.65</v>
      </c>
      <c r="M268" s="10">
        <v>2797</v>
      </c>
      <c r="N268" s="10">
        <f>B268+C268+D268+E268+F268+G268+H268+I268+J268+K268+L268+M268</f>
        <v>260421.44999999998</v>
      </c>
    </row>
    <row r="269" spans="1:14" x14ac:dyDescent="0.2">
      <c r="A269" s="17" t="s">
        <v>183</v>
      </c>
      <c r="B269" s="10">
        <v>20420.32</v>
      </c>
      <c r="C269" s="10">
        <v>32897.72</v>
      </c>
      <c r="D269" s="10">
        <v>42783.87</v>
      </c>
      <c r="E269" s="10">
        <v>35722.160000000003</v>
      </c>
      <c r="F269" s="10">
        <v>41796</v>
      </c>
      <c r="G269" s="10">
        <v>21283.759999999998</v>
      </c>
      <c r="H269" s="10">
        <v>6862.49</v>
      </c>
      <c r="I269" s="10">
        <v>12807.41</v>
      </c>
      <c r="J269" s="10">
        <v>48161.54</v>
      </c>
      <c r="K269" s="10">
        <v>44334.48</v>
      </c>
      <c r="L269" s="10">
        <v>56144.59</v>
      </c>
      <c r="M269" s="10">
        <v>17995.41</v>
      </c>
      <c r="N269" s="10">
        <f>B269+C269+D269+E269+F269+G269+H269+I269+J269+K269+L269+M269</f>
        <v>381209.74999999994</v>
      </c>
    </row>
    <row r="270" spans="1:14" x14ac:dyDescent="0.2">
      <c r="A270" s="17" t="s">
        <v>184</v>
      </c>
      <c r="B270" s="10">
        <v>15829</v>
      </c>
      <c r="C270" s="10">
        <v>14130</v>
      </c>
      <c r="D270" s="10">
        <v>36291</v>
      </c>
      <c r="E270" s="10">
        <v>32545</v>
      </c>
      <c r="F270" s="10">
        <v>18863</v>
      </c>
      <c r="G270" s="10">
        <v>20170</v>
      </c>
      <c r="H270" s="10">
        <v>1885</v>
      </c>
      <c r="I270" s="10">
        <v>3906</v>
      </c>
      <c r="J270" s="10">
        <v>26500</v>
      </c>
      <c r="K270" s="10">
        <v>30354</v>
      </c>
      <c r="L270" s="10">
        <v>37518</v>
      </c>
      <c r="M270" s="10">
        <v>9652</v>
      </c>
      <c r="N270" s="10">
        <f>B270+C270+D270+E270+F270+G270+H270+I270+J270+K270+L270+M270</f>
        <v>247643</v>
      </c>
    </row>
    <row r="271" spans="1:14" x14ac:dyDescent="0.2">
      <c r="A271" s="17" t="s">
        <v>185</v>
      </c>
      <c r="B271" s="10">
        <v>1550</v>
      </c>
      <c r="C271" s="10">
        <v>3500</v>
      </c>
      <c r="D271" s="10">
        <v>6852.52</v>
      </c>
      <c r="E271" s="10">
        <v>1025</v>
      </c>
      <c r="F271" s="10">
        <v>4775</v>
      </c>
      <c r="G271" s="10">
        <v>3445</v>
      </c>
      <c r="H271" s="10">
        <v>912</v>
      </c>
      <c r="I271" s="10">
        <v>2734.8</v>
      </c>
      <c r="J271" s="10">
        <v>1050</v>
      </c>
      <c r="K271" s="10">
        <v>1120</v>
      </c>
      <c r="L271" s="10">
        <v>6310</v>
      </c>
      <c r="M271" s="10">
        <v>985.1</v>
      </c>
      <c r="N271" s="10">
        <f>B271+C271+D271+E271+F271+G271+H271+I271+J271+K271+L271+M271</f>
        <v>34259.42</v>
      </c>
    </row>
    <row r="272" spans="1:14" ht="4.95" customHeight="1" x14ac:dyDescent="0.2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</row>
    <row r="273" spans="1:14" ht="4.95" customHeight="1" x14ac:dyDescent="0.2"/>
    <row r="274" spans="1:14" x14ac:dyDescent="0.2">
      <c r="A274" s="16" t="s">
        <v>186</v>
      </c>
      <c r="B274" s="9">
        <f t="shared" ref="B274:N274" si="60">SUM(B268:B271)</f>
        <v>51099.32</v>
      </c>
      <c r="C274" s="9">
        <f t="shared" si="60"/>
        <v>100777.72</v>
      </c>
      <c r="D274" s="9">
        <f t="shared" si="60"/>
        <v>130577.39</v>
      </c>
      <c r="E274" s="9">
        <f t="shared" si="60"/>
        <v>87292.160000000003</v>
      </c>
      <c r="F274" s="9">
        <f t="shared" si="60"/>
        <v>78934</v>
      </c>
      <c r="G274" s="9">
        <f t="shared" si="60"/>
        <v>54198.759999999995</v>
      </c>
      <c r="H274" s="9">
        <f t="shared" si="60"/>
        <v>22920.1</v>
      </c>
      <c r="I274" s="9">
        <f t="shared" si="60"/>
        <v>48355.65</v>
      </c>
      <c r="J274" s="9">
        <f t="shared" si="60"/>
        <v>89911.540000000008</v>
      </c>
      <c r="K274" s="9">
        <f t="shared" si="60"/>
        <v>100400.23000000001</v>
      </c>
      <c r="L274" s="9">
        <f t="shared" si="60"/>
        <v>127637.23999999999</v>
      </c>
      <c r="M274" s="9">
        <f t="shared" si="60"/>
        <v>31429.51</v>
      </c>
      <c r="N274" s="9">
        <f t="shared" si="60"/>
        <v>923533.62</v>
      </c>
    </row>
    <row r="275" spans="1:14" ht="4.95" customHeight="1" x14ac:dyDescent="0.2"/>
    <row r="276" spans="1:14" ht="4.95" customHeight="1" x14ac:dyDescent="0.2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r="277" spans="1:14" ht="4.95" customHeight="1" x14ac:dyDescent="0.2"/>
    <row r="278" spans="1:14" x14ac:dyDescent="0.2">
      <c r="A278" s="16" t="s">
        <v>187</v>
      </c>
      <c r="B278" s="9">
        <f t="shared" ref="B278:N278" si="61">B257+B265+B274</f>
        <v>116754.23000000001</v>
      </c>
      <c r="C278" s="9">
        <f t="shared" si="61"/>
        <v>195014.47</v>
      </c>
      <c r="D278" s="9">
        <f t="shared" si="61"/>
        <v>240102.11</v>
      </c>
      <c r="E278" s="9">
        <f t="shared" si="61"/>
        <v>192918.59</v>
      </c>
      <c r="F278" s="9">
        <f t="shared" si="61"/>
        <v>227154.72999999998</v>
      </c>
      <c r="G278" s="9">
        <f t="shared" si="61"/>
        <v>119464.59</v>
      </c>
      <c r="H278" s="9">
        <f t="shared" si="61"/>
        <v>41715.1</v>
      </c>
      <c r="I278" s="9">
        <f t="shared" si="61"/>
        <v>93909.98000000001</v>
      </c>
      <c r="J278" s="9">
        <f t="shared" si="61"/>
        <v>257095.04000000001</v>
      </c>
      <c r="K278" s="9">
        <f t="shared" si="61"/>
        <v>236540.98</v>
      </c>
      <c r="L278" s="9">
        <f t="shared" si="61"/>
        <v>325513.32</v>
      </c>
      <c r="M278" s="9">
        <f t="shared" si="61"/>
        <v>100935.93999999999</v>
      </c>
      <c r="N278" s="9">
        <f t="shared" si="61"/>
        <v>2147119.08</v>
      </c>
    </row>
    <row r="280" spans="1:14" x14ac:dyDescent="0.2">
      <c r="A280" s="16" t="s">
        <v>188</v>
      </c>
    </row>
    <row r="281" spans="1:14" x14ac:dyDescent="0.2">
      <c r="A281" s="17" t="s">
        <v>189</v>
      </c>
      <c r="B281" s="10">
        <v>28782.959999999999</v>
      </c>
      <c r="C281" s="10">
        <v>24425.279999999999</v>
      </c>
      <c r="D281" s="10">
        <v>28870.1</v>
      </c>
      <c r="E281" s="10">
        <v>26890.83</v>
      </c>
      <c r="F281" s="10">
        <v>33437.67</v>
      </c>
      <c r="G281" s="10">
        <v>17092.95</v>
      </c>
      <c r="H281" s="10">
        <v>8905.58</v>
      </c>
      <c r="I281" s="10">
        <v>14516.21</v>
      </c>
      <c r="J281" s="10">
        <v>34295.01</v>
      </c>
      <c r="K281" s="10">
        <v>39895.660000000003</v>
      </c>
      <c r="L281" s="10">
        <v>42972.91</v>
      </c>
      <c r="M281" s="10">
        <v>12499.86</v>
      </c>
      <c r="N281" s="10">
        <f>B281+C281+D281+E281+F281+G281+H281+I281+J281+K281+L281+M281</f>
        <v>312585.02</v>
      </c>
    </row>
    <row r="282" spans="1:14" x14ac:dyDescent="0.2">
      <c r="A282" s="17" t="s">
        <v>190</v>
      </c>
      <c r="B282" s="10">
        <v>1133.24</v>
      </c>
      <c r="C282" s="10">
        <v>1305.1500000000001</v>
      </c>
      <c r="D282" s="10">
        <v>886.35</v>
      </c>
      <c r="E282" s="10">
        <v>774.81</v>
      </c>
      <c r="F282" s="10">
        <v>2010.87</v>
      </c>
      <c r="G282" s="10">
        <v>1133.0999999999999</v>
      </c>
      <c r="H282" s="10">
        <v>0</v>
      </c>
      <c r="I282" s="10">
        <v>247.85</v>
      </c>
      <c r="J282" s="10">
        <v>1154.06</v>
      </c>
      <c r="K282" s="10">
        <v>634.17999999999995</v>
      </c>
      <c r="L282" s="10">
        <v>564.57000000000005</v>
      </c>
      <c r="M282" s="10">
        <v>1984.75</v>
      </c>
      <c r="N282" s="10">
        <f>B282+C282+D282+E282+F282+G282+H282+I282+J282+K282+L282+M282</f>
        <v>11828.93</v>
      </c>
    </row>
    <row r="283" spans="1:14" x14ac:dyDescent="0.2">
      <c r="A283" s="17" t="s">
        <v>191</v>
      </c>
      <c r="B283" s="10">
        <v>4082</v>
      </c>
      <c r="C283" s="10">
        <v>14873.4</v>
      </c>
      <c r="D283" s="10">
        <v>21174.6</v>
      </c>
      <c r="E283" s="10">
        <v>19407</v>
      </c>
      <c r="F283" s="10">
        <v>14823.8</v>
      </c>
      <c r="G283" s="10">
        <v>9852</v>
      </c>
      <c r="H283" s="10">
        <v>1029</v>
      </c>
      <c r="I283" s="10">
        <v>3465.6</v>
      </c>
      <c r="J283" s="10">
        <v>14916</v>
      </c>
      <c r="K283" s="10">
        <v>17819.400000000001</v>
      </c>
      <c r="L283" s="10">
        <v>20970</v>
      </c>
      <c r="M283" s="10">
        <v>7032</v>
      </c>
      <c r="N283" s="10">
        <f>B283+C283+D283+E283+F283+G283+H283+I283+J283+K283+L283+M283</f>
        <v>149444.80000000002</v>
      </c>
    </row>
    <row r="284" spans="1:14" x14ac:dyDescent="0.2">
      <c r="A284" s="17" t="s">
        <v>192</v>
      </c>
      <c r="B284" s="10">
        <v>3160.59</v>
      </c>
      <c r="C284" s="10">
        <v>3524.6</v>
      </c>
      <c r="D284" s="10">
        <v>3187.53</v>
      </c>
      <c r="E284" s="10">
        <v>2449.86</v>
      </c>
      <c r="F284" s="10">
        <v>3835.21</v>
      </c>
      <c r="G284" s="10">
        <v>2394.71</v>
      </c>
      <c r="H284" s="10">
        <v>1982.73</v>
      </c>
      <c r="I284" s="10">
        <v>1919.62</v>
      </c>
      <c r="J284" s="10">
        <v>2412.1999999999998</v>
      </c>
      <c r="K284" s="10">
        <v>2620.1</v>
      </c>
      <c r="L284" s="10">
        <v>2650.45</v>
      </c>
      <c r="M284" s="10">
        <v>2823.33</v>
      </c>
      <c r="N284" s="10">
        <f>B284+C284+D284+E284+F284+G284+H284+I284+J284+K284+L284+M284</f>
        <v>32960.93</v>
      </c>
    </row>
    <row r="285" spans="1:14" ht="4.95" customHeight="1" x14ac:dyDescent="0.2"/>
    <row r="286" spans="1:14" ht="4.95" customHeight="1" x14ac:dyDescent="0.2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r="287" spans="1:14" ht="4.95" customHeight="1" x14ac:dyDescent="0.2"/>
    <row r="288" spans="1:14" x14ac:dyDescent="0.2">
      <c r="A288" s="16" t="s">
        <v>193</v>
      </c>
      <c r="B288" s="9">
        <f t="shared" ref="B288:N288" si="62">SUM(B281:B284)</f>
        <v>37158.789999999994</v>
      </c>
      <c r="C288" s="9">
        <f t="shared" si="62"/>
        <v>44128.43</v>
      </c>
      <c r="D288" s="9">
        <f t="shared" si="62"/>
        <v>54118.579999999994</v>
      </c>
      <c r="E288" s="9">
        <f t="shared" si="62"/>
        <v>49522.5</v>
      </c>
      <c r="F288" s="9">
        <f t="shared" si="62"/>
        <v>54107.549999999996</v>
      </c>
      <c r="G288" s="9">
        <f t="shared" si="62"/>
        <v>30472.76</v>
      </c>
      <c r="H288" s="9">
        <f t="shared" si="62"/>
        <v>11917.31</v>
      </c>
      <c r="I288" s="9">
        <f t="shared" si="62"/>
        <v>20149.28</v>
      </c>
      <c r="J288" s="9">
        <f t="shared" si="62"/>
        <v>52777.27</v>
      </c>
      <c r="K288" s="9">
        <f t="shared" si="62"/>
        <v>60969.340000000004</v>
      </c>
      <c r="L288" s="9">
        <f t="shared" si="62"/>
        <v>67157.930000000008</v>
      </c>
      <c r="M288" s="9">
        <f t="shared" si="62"/>
        <v>24339.940000000002</v>
      </c>
      <c r="N288" s="9">
        <f t="shared" si="62"/>
        <v>506819.68</v>
      </c>
    </row>
    <row r="289" spans="1:14" ht="4.95" customHeight="1" x14ac:dyDescent="0.2"/>
    <row r="290" spans="1:14" x14ac:dyDescent="0.2">
      <c r="A290" s="16" t="s">
        <v>194</v>
      </c>
      <c r="B290" s="9">
        <f t="shared" ref="B290:N290" si="63">(B278)-(B288)</f>
        <v>79595.440000000017</v>
      </c>
      <c r="C290" s="9">
        <f t="shared" si="63"/>
        <v>150886.04</v>
      </c>
      <c r="D290" s="9">
        <f t="shared" si="63"/>
        <v>185983.53</v>
      </c>
      <c r="E290" s="9">
        <f t="shared" si="63"/>
        <v>143396.09</v>
      </c>
      <c r="F290" s="9">
        <f t="shared" si="63"/>
        <v>173047.18</v>
      </c>
      <c r="G290" s="9">
        <f t="shared" si="63"/>
        <v>88991.83</v>
      </c>
      <c r="H290" s="9">
        <f t="shared" si="63"/>
        <v>29797.79</v>
      </c>
      <c r="I290" s="9">
        <f t="shared" si="63"/>
        <v>73760.700000000012</v>
      </c>
      <c r="J290" s="9">
        <f t="shared" si="63"/>
        <v>204317.77000000002</v>
      </c>
      <c r="K290" s="9">
        <f t="shared" si="63"/>
        <v>175571.64</v>
      </c>
      <c r="L290" s="9">
        <f t="shared" si="63"/>
        <v>258355.39</v>
      </c>
      <c r="M290" s="9">
        <f t="shared" si="63"/>
        <v>76595.999999999985</v>
      </c>
      <c r="N290" s="9">
        <f t="shared" si="63"/>
        <v>1640299.4000000001</v>
      </c>
    </row>
    <row r="292" spans="1:14" x14ac:dyDescent="0.2">
      <c r="A292" s="16" t="s">
        <v>195</v>
      </c>
    </row>
    <row r="294" spans="1:14" x14ac:dyDescent="0.2">
      <c r="A294" s="16" t="s">
        <v>196</v>
      </c>
    </row>
    <row r="295" spans="1:14" x14ac:dyDescent="0.2">
      <c r="A295" s="16" t="s">
        <v>197</v>
      </c>
    </row>
    <row r="296" spans="1:14" x14ac:dyDescent="0.2">
      <c r="A296" s="17" t="s">
        <v>198</v>
      </c>
      <c r="B296" s="10">
        <v>4515.92</v>
      </c>
      <c r="C296" s="10">
        <v>4991.28</v>
      </c>
      <c r="D296" s="10">
        <v>5104.08</v>
      </c>
      <c r="E296" s="10">
        <v>5228.16</v>
      </c>
      <c r="F296" s="10">
        <v>5726.08</v>
      </c>
      <c r="G296" s="10">
        <v>4481.28</v>
      </c>
      <c r="H296" s="10">
        <v>5075.84</v>
      </c>
      <c r="I296" s="10">
        <v>5899.52</v>
      </c>
      <c r="J296" s="10">
        <v>5095.04</v>
      </c>
      <c r="K296" s="10">
        <v>6167.68</v>
      </c>
      <c r="L296" s="10">
        <v>5631.36</v>
      </c>
      <c r="M296" s="10">
        <v>4290.5600000000004</v>
      </c>
      <c r="N296" s="10">
        <f>B296+C296+D296+E296+F296+G296+H296+I296+J296+K296+L296+M296</f>
        <v>62206.8</v>
      </c>
    </row>
    <row r="297" spans="1:14" x14ac:dyDescent="0.2">
      <c r="A297" s="16" t="s">
        <v>199</v>
      </c>
      <c r="B297" s="9">
        <f t="shared" ref="B297:N297" si="64">B296</f>
        <v>4515.92</v>
      </c>
      <c r="C297" s="9">
        <f t="shared" si="64"/>
        <v>4991.28</v>
      </c>
      <c r="D297" s="9">
        <f t="shared" si="64"/>
        <v>5104.08</v>
      </c>
      <c r="E297" s="9">
        <f t="shared" si="64"/>
        <v>5228.16</v>
      </c>
      <c r="F297" s="9">
        <f t="shared" si="64"/>
        <v>5726.08</v>
      </c>
      <c r="G297" s="9">
        <f t="shared" si="64"/>
        <v>4481.28</v>
      </c>
      <c r="H297" s="9">
        <f t="shared" si="64"/>
        <v>5075.84</v>
      </c>
      <c r="I297" s="9">
        <f t="shared" si="64"/>
        <v>5899.52</v>
      </c>
      <c r="J297" s="9">
        <f t="shared" si="64"/>
        <v>5095.04</v>
      </c>
      <c r="K297" s="9">
        <f t="shared" si="64"/>
        <v>6167.68</v>
      </c>
      <c r="L297" s="9">
        <f t="shared" si="64"/>
        <v>5631.36</v>
      </c>
      <c r="M297" s="9">
        <f t="shared" si="64"/>
        <v>4290.5600000000004</v>
      </c>
      <c r="N297" s="9">
        <f t="shared" si="64"/>
        <v>62206.8</v>
      </c>
    </row>
    <row r="299" spans="1:14" x14ac:dyDescent="0.2">
      <c r="A299" s="16" t="s">
        <v>200</v>
      </c>
    </row>
    <row r="300" spans="1:14" x14ac:dyDescent="0.2">
      <c r="A300" s="17" t="s">
        <v>201</v>
      </c>
      <c r="B300" s="10">
        <v>1394.11</v>
      </c>
      <c r="C300" s="10">
        <v>2633.26</v>
      </c>
      <c r="D300" s="10">
        <v>2396.5</v>
      </c>
      <c r="E300" s="10">
        <v>1971.44</v>
      </c>
      <c r="F300" s="10">
        <v>2540.86</v>
      </c>
      <c r="G300" s="10">
        <v>2015.82</v>
      </c>
      <c r="H300" s="10">
        <v>1439.59</v>
      </c>
      <c r="I300" s="10">
        <v>1951.63</v>
      </c>
      <c r="J300" s="10">
        <v>2041.98</v>
      </c>
      <c r="K300" s="10">
        <v>2698.77</v>
      </c>
      <c r="L300" s="10">
        <v>3702.23</v>
      </c>
      <c r="M300" s="10">
        <v>1846.84</v>
      </c>
      <c r="N300" s="10">
        <f>B300+C300+D300+E300+F300+G300+H300+I300+J300+K300+L300+M300</f>
        <v>26633.03</v>
      </c>
    </row>
    <row r="301" spans="1:14" x14ac:dyDescent="0.2">
      <c r="A301" s="17" t="s">
        <v>202</v>
      </c>
      <c r="B301" s="10">
        <v>2168.11</v>
      </c>
      <c r="C301" s="10">
        <v>3890.02</v>
      </c>
      <c r="D301" s="10">
        <v>2726.42</v>
      </c>
      <c r="E301" s="10">
        <v>2883.47</v>
      </c>
      <c r="F301" s="10">
        <v>1934.68</v>
      </c>
      <c r="G301" s="10">
        <v>2162.11</v>
      </c>
      <c r="H301" s="10">
        <v>1840.29</v>
      </c>
      <c r="I301" s="10">
        <v>2588.6799999999998</v>
      </c>
      <c r="J301" s="10">
        <v>4036.98</v>
      </c>
      <c r="K301" s="10">
        <v>3100.5</v>
      </c>
      <c r="L301" s="10">
        <v>2005.04</v>
      </c>
      <c r="M301" s="10">
        <v>1726.27</v>
      </c>
      <c r="N301" s="10">
        <f>B301+C301+D301+E301+F301+G301+H301+I301+J301+K301+L301+M301</f>
        <v>31062.57</v>
      </c>
    </row>
    <row r="302" spans="1:14" x14ac:dyDescent="0.2">
      <c r="A302" s="17" t="s">
        <v>203</v>
      </c>
      <c r="B302" s="10">
        <v>4773.17</v>
      </c>
      <c r="C302" s="10">
        <v>6100.05</v>
      </c>
      <c r="D302" s="10">
        <v>5878.61</v>
      </c>
      <c r="E302" s="10">
        <v>7422.99</v>
      </c>
      <c r="F302" s="10">
        <v>6833.95</v>
      </c>
      <c r="G302" s="10">
        <v>5400.95</v>
      </c>
      <c r="H302" s="10">
        <v>4659.0200000000004</v>
      </c>
      <c r="I302" s="10">
        <v>5026.7700000000004</v>
      </c>
      <c r="J302" s="10">
        <v>5884.34</v>
      </c>
      <c r="K302" s="10">
        <v>6024.47</v>
      </c>
      <c r="L302" s="10">
        <v>6901.99</v>
      </c>
      <c r="M302" s="10">
        <v>4550.9799999999996</v>
      </c>
      <c r="N302" s="10">
        <f>B302+C302+D302+E302+F302+G302+H302+I302+J302+K302+L302+M302</f>
        <v>69457.290000000008</v>
      </c>
    </row>
    <row r="303" spans="1:14" x14ac:dyDescent="0.2">
      <c r="A303" s="17" t="s">
        <v>204</v>
      </c>
      <c r="B303" s="10">
        <v>6536.25</v>
      </c>
      <c r="C303" s="10">
        <v>12504</v>
      </c>
      <c r="D303" s="10">
        <v>13232.5</v>
      </c>
      <c r="E303" s="10">
        <v>9923.25</v>
      </c>
      <c r="F303" s="10">
        <v>13978.5</v>
      </c>
      <c r="G303" s="10">
        <v>5959</v>
      </c>
      <c r="H303" s="10">
        <v>1936</v>
      </c>
      <c r="I303" s="10">
        <v>5425.5</v>
      </c>
      <c r="J303" s="10">
        <v>9563.75</v>
      </c>
      <c r="K303" s="10">
        <v>9972.75</v>
      </c>
      <c r="L303" s="10">
        <v>21780.75</v>
      </c>
      <c r="M303" s="10">
        <v>10704</v>
      </c>
      <c r="N303" s="10">
        <f>B303+C303+D303+E303+F303+G303+H303+I303+J303+K303+L303+M303</f>
        <v>121516.25</v>
      </c>
    </row>
    <row r="304" spans="1:14" x14ac:dyDescent="0.2">
      <c r="A304" s="16" t="s">
        <v>205</v>
      </c>
      <c r="B304" s="9">
        <f t="shared" ref="B304:N304" si="65">SUM(B300:B303)</f>
        <v>14871.64</v>
      </c>
      <c r="C304" s="9">
        <f t="shared" si="65"/>
        <v>25127.33</v>
      </c>
      <c r="D304" s="9">
        <f t="shared" si="65"/>
        <v>24234.03</v>
      </c>
      <c r="E304" s="9">
        <f t="shared" si="65"/>
        <v>22201.15</v>
      </c>
      <c r="F304" s="9">
        <f t="shared" si="65"/>
        <v>25287.989999999998</v>
      </c>
      <c r="G304" s="9">
        <f t="shared" si="65"/>
        <v>15537.880000000001</v>
      </c>
      <c r="H304" s="9">
        <f t="shared" si="65"/>
        <v>9874.9000000000015</v>
      </c>
      <c r="I304" s="9">
        <f t="shared" si="65"/>
        <v>14992.58</v>
      </c>
      <c r="J304" s="9">
        <f t="shared" si="65"/>
        <v>21527.05</v>
      </c>
      <c r="K304" s="9">
        <f t="shared" si="65"/>
        <v>21796.49</v>
      </c>
      <c r="L304" s="9">
        <f t="shared" si="65"/>
        <v>34390.01</v>
      </c>
      <c r="M304" s="9">
        <f t="shared" si="65"/>
        <v>18828.09</v>
      </c>
      <c r="N304" s="9">
        <f t="shared" si="65"/>
        <v>248669.14</v>
      </c>
    </row>
    <row r="305" spans="1:14" x14ac:dyDescent="0.2">
      <c r="A305" s="16" t="s">
        <v>206</v>
      </c>
      <c r="B305" s="9">
        <f t="shared" ref="B305:N305" si="66">B297+B304</f>
        <v>19387.559999999998</v>
      </c>
      <c r="C305" s="9">
        <f t="shared" si="66"/>
        <v>30118.61</v>
      </c>
      <c r="D305" s="9">
        <f t="shared" si="66"/>
        <v>29338.11</v>
      </c>
      <c r="E305" s="9">
        <f t="shared" si="66"/>
        <v>27429.31</v>
      </c>
      <c r="F305" s="9">
        <f t="shared" si="66"/>
        <v>31014.07</v>
      </c>
      <c r="G305" s="9">
        <f t="shared" si="66"/>
        <v>20019.16</v>
      </c>
      <c r="H305" s="9">
        <f t="shared" si="66"/>
        <v>14950.740000000002</v>
      </c>
      <c r="I305" s="9">
        <f t="shared" si="66"/>
        <v>20892.099999999999</v>
      </c>
      <c r="J305" s="9">
        <f t="shared" si="66"/>
        <v>26622.09</v>
      </c>
      <c r="K305" s="9">
        <f t="shared" si="66"/>
        <v>27964.170000000002</v>
      </c>
      <c r="L305" s="9">
        <f t="shared" si="66"/>
        <v>40021.370000000003</v>
      </c>
      <c r="M305" s="9">
        <f t="shared" si="66"/>
        <v>23118.65</v>
      </c>
      <c r="N305" s="9">
        <f t="shared" si="66"/>
        <v>310875.94</v>
      </c>
    </row>
    <row r="307" spans="1:14" x14ac:dyDescent="0.2">
      <c r="A307" s="16" t="s">
        <v>207</v>
      </c>
    </row>
    <row r="308" spans="1:14" x14ac:dyDescent="0.2">
      <c r="A308" s="17" t="s">
        <v>208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350</v>
      </c>
      <c r="J308" s="10">
        <v>0</v>
      </c>
      <c r="K308" s="10">
        <v>0</v>
      </c>
      <c r="L308" s="10">
        <v>0</v>
      </c>
      <c r="M308" s="10">
        <v>0</v>
      </c>
      <c r="N308" s="10">
        <f t="shared" ref="N308:N314" si="67">B308+C308+D308+E308+F308+G308+H308+I308+J308+K308+L308+M308</f>
        <v>350</v>
      </c>
    </row>
    <row r="309" spans="1:14" x14ac:dyDescent="0.2">
      <c r="A309" s="17" t="s">
        <v>209</v>
      </c>
      <c r="B309" s="10">
        <v>1468.18</v>
      </c>
      <c r="C309" s="10">
        <v>2569.1799999999998</v>
      </c>
      <c r="D309" s="10">
        <v>3763.94</v>
      </c>
      <c r="E309" s="10">
        <v>1038.74</v>
      </c>
      <c r="F309" s="10">
        <v>2311.91</v>
      </c>
      <c r="G309" s="10">
        <v>1604.91</v>
      </c>
      <c r="H309" s="10">
        <v>863.54</v>
      </c>
      <c r="I309" s="10">
        <v>2113.15</v>
      </c>
      <c r="J309" s="10">
        <v>2121.6999999999998</v>
      </c>
      <c r="K309" s="10">
        <v>1960.42</v>
      </c>
      <c r="L309" s="10">
        <v>2891.82</v>
      </c>
      <c r="M309" s="10">
        <v>1642.97</v>
      </c>
      <c r="N309" s="10">
        <f t="shared" si="67"/>
        <v>24350.46</v>
      </c>
    </row>
    <row r="310" spans="1:14" x14ac:dyDescent="0.2">
      <c r="A310" s="17" t="s">
        <v>210</v>
      </c>
      <c r="B310" s="10">
        <v>110.63</v>
      </c>
      <c r="C310" s="10">
        <v>158.13999999999999</v>
      </c>
      <c r="D310" s="10">
        <v>147.22999999999999</v>
      </c>
      <c r="E310" s="10">
        <v>144.77000000000001</v>
      </c>
      <c r="F310" s="10">
        <v>160.02000000000001</v>
      </c>
      <c r="G310" s="10">
        <v>115.22</v>
      </c>
      <c r="H310" s="10">
        <v>79.23</v>
      </c>
      <c r="I310" s="10">
        <v>106.47</v>
      </c>
      <c r="J310" s="10">
        <v>137.66999999999999</v>
      </c>
      <c r="K310" s="10">
        <v>134.5</v>
      </c>
      <c r="L310" s="10">
        <v>187.87</v>
      </c>
      <c r="M310" s="10">
        <v>124.83</v>
      </c>
      <c r="N310" s="10">
        <f t="shared" si="67"/>
        <v>1606.58</v>
      </c>
    </row>
    <row r="311" spans="1:14" x14ac:dyDescent="0.2">
      <c r="A311" s="17" t="s">
        <v>211</v>
      </c>
      <c r="B311" s="10">
        <v>435.57</v>
      </c>
      <c r="C311" s="10">
        <v>617.64</v>
      </c>
      <c r="D311" s="10">
        <v>432.96</v>
      </c>
      <c r="E311" s="10">
        <v>633.16</v>
      </c>
      <c r="F311" s="10">
        <v>544.69000000000005</v>
      </c>
      <c r="G311" s="10">
        <v>357.19</v>
      </c>
      <c r="H311" s="10">
        <v>222.18</v>
      </c>
      <c r="I311" s="10">
        <v>378.15</v>
      </c>
      <c r="J311" s="10">
        <v>614.47</v>
      </c>
      <c r="K311" s="10">
        <v>494.02</v>
      </c>
      <c r="L311" s="10">
        <v>704.26</v>
      </c>
      <c r="M311" s="10">
        <v>550.99</v>
      </c>
      <c r="N311" s="10">
        <f t="shared" si="67"/>
        <v>5985.2800000000007</v>
      </c>
    </row>
    <row r="312" spans="1:14" x14ac:dyDescent="0.2">
      <c r="A312" s="17" t="s">
        <v>212</v>
      </c>
      <c r="B312" s="10">
        <v>545.6</v>
      </c>
      <c r="C312" s="10">
        <v>0</v>
      </c>
      <c r="D312" s="10">
        <v>301.76</v>
      </c>
      <c r="E312" s="10">
        <v>261.76</v>
      </c>
      <c r="F312" s="10">
        <v>0</v>
      </c>
      <c r="G312" s="10">
        <v>373.76</v>
      </c>
      <c r="H312" s="10">
        <v>1748.16</v>
      </c>
      <c r="I312" s="10">
        <v>1151.04</v>
      </c>
      <c r="J312" s="10">
        <v>334.32</v>
      </c>
      <c r="K312" s="10">
        <v>150.88</v>
      </c>
      <c r="L312" s="10">
        <v>222.88</v>
      </c>
      <c r="M312" s="10">
        <v>1897.44</v>
      </c>
      <c r="N312" s="10">
        <f t="shared" si="67"/>
        <v>6987.6</v>
      </c>
    </row>
    <row r="313" spans="1:14" x14ac:dyDescent="0.2">
      <c r="A313" s="17" t="s">
        <v>213</v>
      </c>
      <c r="B313" s="10">
        <v>829.04</v>
      </c>
      <c r="C313" s="10">
        <v>0</v>
      </c>
      <c r="D313" s="10">
        <v>150.88</v>
      </c>
      <c r="E313" s="10">
        <v>399.84</v>
      </c>
      <c r="F313" s="10">
        <v>0</v>
      </c>
      <c r="G313" s="10">
        <v>150.88</v>
      </c>
      <c r="H313" s="10">
        <v>150.88</v>
      </c>
      <c r="I313" s="10">
        <v>689.76</v>
      </c>
      <c r="J313" s="10">
        <v>268.16000000000003</v>
      </c>
      <c r="K313" s="10">
        <v>0</v>
      </c>
      <c r="L313" s="10">
        <v>0</v>
      </c>
      <c r="M313" s="10">
        <v>269.44</v>
      </c>
      <c r="N313" s="10">
        <f t="shared" si="67"/>
        <v>2908.8799999999997</v>
      </c>
    </row>
    <row r="314" spans="1:14" x14ac:dyDescent="0.2">
      <c r="A314" s="17" t="s">
        <v>214</v>
      </c>
      <c r="B314" s="10">
        <v>1625.01</v>
      </c>
      <c r="C314" s="10">
        <v>109.12</v>
      </c>
      <c r="D314" s="10">
        <v>0</v>
      </c>
      <c r="E314" s="10">
        <v>0</v>
      </c>
      <c r="F314" s="10">
        <v>0</v>
      </c>
      <c r="G314" s="10">
        <v>1127.97</v>
      </c>
      <c r="H314" s="10">
        <v>439.18</v>
      </c>
      <c r="I314" s="10">
        <v>0</v>
      </c>
      <c r="J314" s="10">
        <v>572.98</v>
      </c>
      <c r="K314" s="10">
        <v>0</v>
      </c>
      <c r="L314" s="10">
        <v>0</v>
      </c>
      <c r="M314" s="10">
        <v>572.15</v>
      </c>
      <c r="N314" s="10">
        <f t="shared" si="67"/>
        <v>4446.41</v>
      </c>
    </row>
    <row r="315" spans="1:14" x14ac:dyDescent="0.2">
      <c r="A315" s="16" t="s">
        <v>215</v>
      </c>
      <c r="B315" s="9">
        <f t="shared" ref="B315:N315" si="68">SUM(B308:B314)</f>
        <v>5014.03</v>
      </c>
      <c r="C315" s="9">
        <f t="shared" si="68"/>
        <v>3454.0799999999995</v>
      </c>
      <c r="D315" s="9">
        <f t="shared" si="68"/>
        <v>4796.7700000000004</v>
      </c>
      <c r="E315" s="9">
        <f t="shared" si="68"/>
        <v>2478.2700000000004</v>
      </c>
      <c r="F315" s="9">
        <f t="shared" si="68"/>
        <v>3016.62</v>
      </c>
      <c r="G315" s="9">
        <f t="shared" si="68"/>
        <v>3729.9300000000003</v>
      </c>
      <c r="H315" s="9">
        <f t="shared" si="68"/>
        <v>3503.17</v>
      </c>
      <c r="I315" s="9">
        <f t="shared" si="68"/>
        <v>4788.57</v>
      </c>
      <c r="J315" s="9">
        <f t="shared" si="68"/>
        <v>4049.3</v>
      </c>
      <c r="K315" s="9">
        <f t="shared" si="68"/>
        <v>2739.82</v>
      </c>
      <c r="L315" s="9">
        <f t="shared" si="68"/>
        <v>4006.83</v>
      </c>
      <c r="M315" s="9">
        <f t="shared" si="68"/>
        <v>5057.8199999999988</v>
      </c>
      <c r="N315" s="9">
        <f t="shared" si="68"/>
        <v>46635.209999999992</v>
      </c>
    </row>
    <row r="316" spans="1:14" ht="4.95" customHeight="1" x14ac:dyDescent="0.2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 spans="1:14" ht="4.95" customHeight="1" x14ac:dyDescent="0.2"/>
    <row r="318" spans="1:14" x14ac:dyDescent="0.2">
      <c r="A318" s="16" t="s">
        <v>216</v>
      </c>
      <c r="B318" s="9">
        <f t="shared" ref="B318:N318" si="69">B305+B315</f>
        <v>24401.589999999997</v>
      </c>
      <c r="C318" s="9">
        <f t="shared" si="69"/>
        <v>33572.69</v>
      </c>
      <c r="D318" s="9">
        <f t="shared" si="69"/>
        <v>34134.880000000005</v>
      </c>
      <c r="E318" s="9">
        <f t="shared" si="69"/>
        <v>29907.58</v>
      </c>
      <c r="F318" s="9">
        <f t="shared" si="69"/>
        <v>34030.69</v>
      </c>
      <c r="G318" s="9">
        <f t="shared" si="69"/>
        <v>23749.09</v>
      </c>
      <c r="H318" s="9">
        <f t="shared" si="69"/>
        <v>18453.910000000003</v>
      </c>
      <c r="I318" s="9">
        <f t="shared" si="69"/>
        <v>25680.67</v>
      </c>
      <c r="J318" s="9">
        <f t="shared" si="69"/>
        <v>30671.39</v>
      </c>
      <c r="K318" s="9">
        <f t="shared" si="69"/>
        <v>30703.99</v>
      </c>
      <c r="L318" s="9">
        <f t="shared" si="69"/>
        <v>44028.200000000004</v>
      </c>
      <c r="M318" s="9">
        <f t="shared" si="69"/>
        <v>28176.47</v>
      </c>
      <c r="N318" s="9">
        <f t="shared" si="69"/>
        <v>357511.15</v>
      </c>
    </row>
    <row r="319" spans="1:14" ht="4.95" customHeight="1" x14ac:dyDescent="0.2"/>
    <row r="320" spans="1:14" x14ac:dyDescent="0.2">
      <c r="A320" s="16" t="s">
        <v>114</v>
      </c>
    </row>
    <row r="321" spans="1:14" x14ac:dyDescent="0.2">
      <c r="A321" s="17" t="s">
        <v>217</v>
      </c>
      <c r="B321" s="10">
        <v>0</v>
      </c>
      <c r="C321" s="10">
        <v>71.23</v>
      </c>
      <c r="D321" s="10">
        <v>127.19</v>
      </c>
      <c r="E321" s="10">
        <v>383.92</v>
      </c>
      <c r="F321" s="10">
        <v>-209.33</v>
      </c>
      <c r="G321" s="10">
        <v>0</v>
      </c>
      <c r="H321" s="10">
        <v>0</v>
      </c>
      <c r="I321" s="10">
        <v>0</v>
      </c>
      <c r="J321" s="10">
        <v>0</v>
      </c>
      <c r="K321" s="10">
        <v>-563</v>
      </c>
      <c r="L321" s="10">
        <v>0</v>
      </c>
      <c r="M321" s="10">
        <v>0</v>
      </c>
      <c r="N321" s="10">
        <f t="shared" ref="N321:N337" si="70">B321+C321+D321+E321+F321+G321+H321+I321+J321+K321+L321+M321</f>
        <v>-189.99</v>
      </c>
    </row>
    <row r="322" spans="1:14" x14ac:dyDescent="0.2">
      <c r="A322" s="17" t="s">
        <v>218</v>
      </c>
      <c r="B322" s="10">
        <v>403.84</v>
      </c>
      <c r="C322" s="10">
        <v>367.48</v>
      </c>
      <c r="D322" s="10">
        <v>145.88</v>
      </c>
      <c r="E322" s="10">
        <v>1492.3</v>
      </c>
      <c r="F322" s="10">
        <v>453.63</v>
      </c>
      <c r="G322" s="10">
        <v>247.73</v>
      </c>
      <c r="H322" s="10">
        <v>60.89</v>
      </c>
      <c r="I322" s="10">
        <v>149.32</v>
      </c>
      <c r="J322" s="10">
        <v>106.76</v>
      </c>
      <c r="K322" s="10">
        <v>407.88</v>
      </c>
      <c r="L322" s="10">
        <v>0</v>
      </c>
      <c r="M322" s="10">
        <v>168.48</v>
      </c>
      <c r="N322" s="10">
        <f t="shared" si="70"/>
        <v>4004.1900000000005</v>
      </c>
    </row>
    <row r="323" spans="1:14" x14ac:dyDescent="0.2">
      <c r="A323" s="17" t="s">
        <v>219</v>
      </c>
      <c r="B323" s="10">
        <v>0</v>
      </c>
      <c r="C323" s="10">
        <v>1131.5999999999999</v>
      </c>
      <c r="D323" s="10">
        <v>-70.23</v>
      </c>
      <c r="E323" s="10">
        <v>0</v>
      </c>
      <c r="F323" s="10">
        <v>0</v>
      </c>
      <c r="G323" s="10">
        <v>544.85</v>
      </c>
      <c r="H323" s="10">
        <v>0</v>
      </c>
      <c r="I323" s="10">
        <v>0</v>
      </c>
      <c r="J323" s="10">
        <v>556.05999999999995</v>
      </c>
      <c r="K323" s="10">
        <v>250.07</v>
      </c>
      <c r="L323" s="10">
        <v>793.05</v>
      </c>
      <c r="M323" s="10">
        <v>536.15</v>
      </c>
      <c r="N323" s="10">
        <f t="shared" si="70"/>
        <v>3741.5499999999997</v>
      </c>
    </row>
    <row r="324" spans="1:14" x14ac:dyDescent="0.2">
      <c r="A324" s="17" t="s">
        <v>220</v>
      </c>
      <c r="B324" s="10">
        <v>0</v>
      </c>
      <c r="C324" s="10">
        <v>0</v>
      </c>
      <c r="D324" s="10">
        <v>43.29</v>
      </c>
      <c r="E324" s="10">
        <v>0</v>
      </c>
      <c r="F324" s="10">
        <v>206.83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243.13</v>
      </c>
      <c r="M324" s="10">
        <v>0</v>
      </c>
      <c r="N324" s="10">
        <f t="shared" si="70"/>
        <v>493.25</v>
      </c>
    </row>
    <row r="325" spans="1:14" x14ac:dyDescent="0.2">
      <c r="A325" s="17" t="s">
        <v>221</v>
      </c>
      <c r="B325" s="10">
        <v>1086.1199999999999</v>
      </c>
      <c r="C325" s="10">
        <v>635.73</v>
      </c>
      <c r="D325" s="10">
        <v>1055.95</v>
      </c>
      <c r="E325" s="10">
        <v>816.75</v>
      </c>
      <c r="F325" s="10">
        <v>510.74</v>
      </c>
      <c r="G325" s="10">
        <v>1602.01</v>
      </c>
      <c r="H325" s="10">
        <v>855.17</v>
      </c>
      <c r="I325" s="10">
        <v>820.54</v>
      </c>
      <c r="J325" s="10">
        <v>1221.06</v>
      </c>
      <c r="K325" s="10">
        <v>796.72</v>
      </c>
      <c r="L325" s="10">
        <v>661.41</v>
      </c>
      <c r="M325" s="10">
        <v>1059.77</v>
      </c>
      <c r="N325" s="10">
        <f t="shared" si="70"/>
        <v>11121.97</v>
      </c>
    </row>
    <row r="326" spans="1:14" x14ac:dyDescent="0.2">
      <c r="A326" s="17" t="s">
        <v>222</v>
      </c>
      <c r="B326" s="10">
        <v>168.87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f t="shared" si="70"/>
        <v>168.87</v>
      </c>
    </row>
    <row r="327" spans="1:14" x14ac:dyDescent="0.2">
      <c r="A327" s="17" t="s">
        <v>223</v>
      </c>
      <c r="B327" s="10">
        <v>0</v>
      </c>
      <c r="C327" s="10">
        <v>94.07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f t="shared" si="70"/>
        <v>94.07</v>
      </c>
    </row>
    <row r="328" spans="1:14" x14ac:dyDescent="0.2">
      <c r="A328" s="17" t="s">
        <v>224</v>
      </c>
      <c r="B328" s="10">
        <v>187.6</v>
      </c>
      <c r="C328" s="10">
        <v>362.03</v>
      </c>
      <c r="D328" s="10">
        <v>182.3</v>
      </c>
      <c r="E328" s="10">
        <v>132.87</v>
      </c>
      <c r="F328" s="10">
        <v>221.45</v>
      </c>
      <c r="G328" s="10">
        <v>0</v>
      </c>
      <c r="H328" s="10">
        <v>132.87</v>
      </c>
      <c r="I328" s="10">
        <v>265.74</v>
      </c>
      <c r="J328" s="10">
        <v>265.74</v>
      </c>
      <c r="K328" s="10">
        <v>500.24</v>
      </c>
      <c r="L328" s="10">
        <v>398.61</v>
      </c>
      <c r="M328" s="10">
        <v>270.95999999999998</v>
      </c>
      <c r="N328" s="10">
        <f t="shared" si="70"/>
        <v>2920.4100000000003</v>
      </c>
    </row>
    <row r="329" spans="1:14" x14ac:dyDescent="0.2">
      <c r="A329" s="17" t="s">
        <v>225</v>
      </c>
      <c r="B329" s="10">
        <v>0</v>
      </c>
      <c r="C329" s="10">
        <v>0</v>
      </c>
      <c r="D329" s="10">
        <v>0</v>
      </c>
      <c r="E329" s="10">
        <v>69.28</v>
      </c>
      <c r="F329" s="10">
        <v>0</v>
      </c>
      <c r="G329" s="10">
        <v>276.99</v>
      </c>
      <c r="H329" s="10">
        <v>52.65</v>
      </c>
      <c r="I329" s="10">
        <v>0</v>
      </c>
      <c r="J329" s="10">
        <v>64.37</v>
      </c>
      <c r="K329" s="10">
        <v>40.11</v>
      </c>
      <c r="L329" s="10">
        <v>74.8</v>
      </c>
      <c r="M329" s="10">
        <v>74.78</v>
      </c>
      <c r="N329" s="10">
        <f t="shared" si="70"/>
        <v>652.9799999999999</v>
      </c>
    </row>
    <row r="330" spans="1:14" x14ac:dyDescent="0.2">
      <c r="A330" s="17" t="s">
        <v>226</v>
      </c>
      <c r="B330" s="10">
        <v>490.9</v>
      </c>
      <c r="C330" s="10">
        <v>218.75</v>
      </c>
      <c r="D330" s="10">
        <v>218.75</v>
      </c>
      <c r="E330" s="10">
        <v>218.75</v>
      </c>
      <c r="F330" s="10">
        <v>218.75</v>
      </c>
      <c r="G330" s="10">
        <v>218.75</v>
      </c>
      <c r="H330" s="10">
        <v>218.75</v>
      </c>
      <c r="I330" s="10">
        <v>218.75</v>
      </c>
      <c r="J330" s="10">
        <v>218.75</v>
      </c>
      <c r="K330" s="10">
        <v>218.75</v>
      </c>
      <c r="L330" s="10">
        <v>218.75</v>
      </c>
      <c r="M330" s="10">
        <v>218.75</v>
      </c>
      <c r="N330" s="10">
        <f t="shared" si="70"/>
        <v>2897.15</v>
      </c>
    </row>
    <row r="331" spans="1:14" x14ac:dyDescent="0.2">
      <c r="A331" s="17" t="s">
        <v>227</v>
      </c>
      <c r="B331" s="10">
        <v>0</v>
      </c>
      <c r="C331" s="10">
        <v>0</v>
      </c>
      <c r="D331" s="10">
        <v>727.44</v>
      </c>
      <c r="E331" s="10">
        <v>160.66</v>
      </c>
      <c r="F331" s="10">
        <v>-1515.5</v>
      </c>
      <c r="G331" s="10">
        <v>548.83000000000004</v>
      </c>
      <c r="H331" s="10">
        <v>0</v>
      </c>
      <c r="I331" s="10">
        <v>0</v>
      </c>
      <c r="J331" s="10">
        <v>0</v>
      </c>
      <c r="K331" s="10">
        <v>0</v>
      </c>
      <c r="L331" s="10">
        <v>2367.69</v>
      </c>
      <c r="M331" s="10">
        <v>-1535.76</v>
      </c>
      <c r="N331" s="10">
        <f t="shared" si="70"/>
        <v>753.3599999999999</v>
      </c>
    </row>
    <row r="332" spans="1:14" x14ac:dyDescent="0.2">
      <c r="A332" s="17" t="s">
        <v>228</v>
      </c>
      <c r="B332" s="10">
        <v>49.38</v>
      </c>
      <c r="C332" s="10">
        <v>148.54</v>
      </c>
      <c r="D332" s="10">
        <v>1500.08</v>
      </c>
      <c r="E332" s="10">
        <v>159.59</v>
      </c>
      <c r="F332" s="10">
        <v>145.46</v>
      </c>
      <c r="G332" s="10">
        <v>0</v>
      </c>
      <c r="H332" s="10">
        <v>0</v>
      </c>
      <c r="I332" s="10">
        <v>0</v>
      </c>
      <c r="J332" s="10">
        <v>0</v>
      </c>
      <c r="K332" s="10">
        <v>-61.3</v>
      </c>
      <c r="L332" s="10">
        <v>0</v>
      </c>
      <c r="M332" s="10">
        <v>0</v>
      </c>
      <c r="N332" s="10">
        <f t="shared" si="70"/>
        <v>1941.75</v>
      </c>
    </row>
    <row r="333" spans="1:14" x14ac:dyDescent="0.2">
      <c r="A333" s="17" t="s">
        <v>229</v>
      </c>
      <c r="B333" s="10">
        <v>1586.63</v>
      </c>
      <c r="C333" s="10">
        <v>2041.91</v>
      </c>
      <c r="D333" s="10">
        <v>3674.73</v>
      </c>
      <c r="E333" s="10">
        <v>2284.31</v>
      </c>
      <c r="F333" s="10">
        <v>3531.44</v>
      </c>
      <c r="G333" s="10">
        <v>1742.17</v>
      </c>
      <c r="H333" s="10">
        <v>2909.46</v>
      </c>
      <c r="I333" s="10">
        <v>3460.57</v>
      </c>
      <c r="J333" s="10">
        <v>1565.08</v>
      </c>
      <c r="K333" s="10">
        <v>3263.22</v>
      </c>
      <c r="L333" s="10">
        <v>3193.79</v>
      </c>
      <c r="M333" s="10">
        <v>1506.25</v>
      </c>
      <c r="N333" s="10">
        <f t="shared" si="70"/>
        <v>30759.560000000005</v>
      </c>
    </row>
    <row r="334" spans="1:14" x14ac:dyDescent="0.2">
      <c r="A334" s="17" t="s">
        <v>230</v>
      </c>
      <c r="B334" s="10">
        <v>0</v>
      </c>
      <c r="C334" s="10">
        <v>0</v>
      </c>
      <c r="D334" s="10">
        <v>0</v>
      </c>
      <c r="E334" s="10">
        <v>0</v>
      </c>
      <c r="F334" s="10">
        <v>138.79</v>
      </c>
      <c r="G334" s="10">
        <v>0</v>
      </c>
      <c r="H334" s="10">
        <v>0</v>
      </c>
      <c r="I334" s="10">
        <v>24.13</v>
      </c>
      <c r="J334" s="10">
        <v>0</v>
      </c>
      <c r="K334" s="10">
        <v>0</v>
      </c>
      <c r="L334" s="10">
        <v>0</v>
      </c>
      <c r="M334" s="10">
        <v>0</v>
      </c>
      <c r="N334" s="10">
        <f t="shared" si="70"/>
        <v>162.91999999999999</v>
      </c>
    </row>
    <row r="335" spans="1:14" x14ac:dyDescent="0.2">
      <c r="A335" s="17" t="s">
        <v>231</v>
      </c>
      <c r="B335" s="10">
        <v>0</v>
      </c>
      <c r="C335" s="10">
        <v>0</v>
      </c>
      <c r="D335" s="10">
        <v>0</v>
      </c>
      <c r="E335" s="10">
        <v>82.45</v>
      </c>
      <c r="F335" s="10">
        <v>10.96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f t="shared" si="70"/>
        <v>93.41</v>
      </c>
    </row>
    <row r="336" spans="1:14" x14ac:dyDescent="0.2">
      <c r="A336" s="17" t="s">
        <v>232</v>
      </c>
      <c r="B336" s="10">
        <v>0</v>
      </c>
      <c r="C336" s="10">
        <v>2613.4299999999998</v>
      </c>
      <c r="D336" s="10">
        <v>-1362.36</v>
      </c>
      <c r="E336" s="10">
        <v>0</v>
      </c>
      <c r="F336" s="10">
        <v>0</v>
      </c>
      <c r="G336" s="10">
        <v>0</v>
      </c>
      <c r="H336" s="10">
        <v>186.47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f t="shared" si="70"/>
        <v>1437.54</v>
      </c>
    </row>
    <row r="337" spans="1:14" x14ac:dyDescent="0.2">
      <c r="A337" s="17" t="s">
        <v>233</v>
      </c>
      <c r="B337" s="10">
        <v>0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312</v>
      </c>
      <c r="K337" s="10">
        <v>0</v>
      </c>
      <c r="L337" s="10">
        <v>347.02</v>
      </c>
      <c r="M337" s="10">
        <v>0</v>
      </c>
      <c r="N337" s="10">
        <f t="shared" si="70"/>
        <v>659.02</v>
      </c>
    </row>
    <row r="338" spans="1:14" ht="4.95" customHeight="1" x14ac:dyDescent="0.2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 spans="1:14" ht="4.95" customHeight="1" x14ac:dyDescent="0.2"/>
    <row r="340" spans="1:14" x14ac:dyDescent="0.2">
      <c r="A340" s="16" t="s">
        <v>139</v>
      </c>
      <c r="B340" s="9">
        <f t="shared" ref="B340:N340" si="71">SUM(B321:B337)</f>
        <v>3973.34</v>
      </c>
      <c r="C340" s="9">
        <f t="shared" si="71"/>
        <v>7684.77</v>
      </c>
      <c r="D340" s="9">
        <f t="shared" si="71"/>
        <v>6243.0199999999995</v>
      </c>
      <c r="E340" s="9">
        <f t="shared" si="71"/>
        <v>5800.88</v>
      </c>
      <c r="F340" s="9">
        <f t="shared" si="71"/>
        <v>3713.22</v>
      </c>
      <c r="G340" s="9">
        <f t="shared" si="71"/>
        <v>5181.33</v>
      </c>
      <c r="H340" s="9">
        <f t="shared" si="71"/>
        <v>4416.26</v>
      </c>
      <c r="I340" s="9">
        <f t="shared" si="71"/>
        <v>4939.05</v>
      </c>
      <c r="J340" s="9">
        <f t="shared" si="71"/>
        <v>4309.82</v>
      </c>
      <c r="K340" s="9">
        <f t="shared" si="71"/>
        <v>4852.6899999999996</v>
      </c>
      <c r="L340" s="9">
        <f t="shared" si="71"/>
        <v>8298.25</v>
      </c>
      <c r="M340" s="9">
        <f t="shared" si="71"/>
        <v>2299.38</v>
      </c>
      <c r="N340" s="9">
        <f t="shared" si="71"/>
        <v>61712.010000000009</v>
      </c>
    </row>
    <row r="341" spans="1:14" ht="4.95" customHeight="1" x14ac:dyDescent="0.2"/>
    <row r="342" spans="1:14" ht="4.95" customHeight="1" x14ac:dyDescent="0.2"/>
    <row r="343" spans="1:14" x14ac:dyDescent="0.2">
      <c r="A343" s="16" t="s">
        <v>234</v>
      </c>
      <c r="B343" s="9">
        <f t="shared" ref="B343:N343" si="72">B288+B318+B340</f>
        <v>65533.719999999987</v>
      </c>
      <c r="C343" s="9">
        <f t="shared" si="72"/>
        <v>85385.89</v>
      </c>
      <c r="D343" s="9">
        <f t="shared" si="72"/>
        <v>94496.48</v>
      </c>
      <c r="E343" s="9">
        <f t="shared" si="72"/>
        <v>85230.96</v>
      </c>
      <c r="F343" s="9">
        <f t="shared" si="72"/>
        <v>91851.459999999992</v>
      </c>
      <c r="G343" s="9">
        <f t="shared" si="72"/>
        <v>59403.18</v>
      </c>
      <c r="H343" s="9">
        <f t="shared" si="72"/>
        <v>34787.480000000003</v>
      </c>
      <c r="I343" s="9">
        <f t="shared" si="72"/>
        <v>50769</v>
      </c>
      <c r="J343" s="9">
        <f t="shared" si="72"/>
        <v>87758.48000000001</v>
      </c>
      <c r="K343" s="9">
        <f t="shared" si="72"/>
        <v>96526.02</v>
      </c>
      <c r="L343" s="9">
        <f t="shared" si="72"/>
        <v>119484.38</v>
      </c>
      <c r="M343" s="9">
        <f t="shared" si="72"/>
        <v>54815.79</v>
      </c>
      <c r="N343" s="9">
        <f t="shared" si="72"/>
        <v>926042.84000000008</v>
      </c>
    </row>
    <row r="344" spans="1:14" ht="4.95" customHeight="1" x14ac:dyDescent="0.2"/>
    <row r="345" spans="1:14" x14ac:dyDescent="0.2">
      <c r="A345" s="7" t="s">
        <v>235</v>
      </c>
      <c r="B345" s="9">
        <f t="shared" ref="B345:N345" si="73">B278-B343</f>
        <v>51220.510000000024</v>
      </c>
      <c r="C345" s="9">
        <f t="shared" si="73"/>
        <v>109628.58</v>
      </c>
      <c r="D345" s="9">
        <f t="shared" si="73"/>
        <v>145605.63</v>
      </c>
      <c r="E345" s="9">
        <f t="shared" si="73"/>
        <v>107687.62999999999</v>
      </c>
      <c r="F345" s="9">
        <f t="shared" si="73"/>
        <v>135303.26999999999</v>
      </c>
      <c r="G345" s="9">
        <f t="shared" si="73"/>
        <v>60061.409999999996</v>
      </c>
      <c r="H345" s="9">
        <f t="shared" si="73"/>
        <v>6927.6199999999953</v>
      </c>
      <c r="I345" s="9">
        <f t="shared" si="73"/>
        <v>43140.98000000001</v>
      </c>
      <c r="J345" s="9">
        <f t="shared" si="73"/>
        <v>169336.56</v>
      </c>
      <c r="K345" s="9">
        <f t="shared" si="73"/>
        <v>140014.96000000002</v>
      </c>
      <c r="L345" s="9">
        <f t="shared" si="73"/>
        <v>206028.94</v>
      </c>
      <c r="M345" s="9">
        <f t="shared" si="73"/>
        <v>46120.149999999987</v>
      </c>
      <c r="N345" s="9">
        <f t="shared" si="73"/>
        <v>1221076.24</v>
      </c>
    </row>
    <row r="346" spans="1:14" ht="4.95" customHeight="1" x14ac:dyDescent="0.2"/>
    <row r="347" spans="1:14" x14ac:dyDescent="0.2">
      <c r="A347" s="16" t="s">
        <v>236</v>
      </c>
    </row>
    <row r="349" spans="1:14" x14ac:dyDescent="0.2">
      <c r="A349" s="16" t="s">
        <v>237</v>
      </c>
    </row>
    <row r="350" spans="1:14" x14ac:dyDescent="0.2">
      <c r="A350" s="16" t="s">
        <v>238</v>
      </c>
    </row>
    <row r="351" spans="1:14" x14ac:dyDescent="0.2">
      <c r="A351" s="17" t="s">
        <v>239</v>
      </c>
      <c r="B351" s="10">
        <v>24258.799999999999</v>
      </c>
      <c r="C351" s="10">
        <v>35570.78</v>
      </c>
      <c r="D351" s="10">
        <v>29640.25</v>
      </c>
      <c r="E351" s="10">
        <v>23460.07</v>
      </c>
      <c r="F351" s="10">
        <v>26587.31</v>
      </c>
      <c r="G351" s="10">
        <v>22309.26</v>
      </c>
      <c r="H351" s="10">
        <v>21021.61</v>
      </c>
      <c r="I351" s="10">
        <v>15271.65</v>
      </c>
      <c r="J351" s="10">
        <v>24300.3</v>
      </c>
      <c r="K351" s="10">
        <v>21842.77</v>
      </c>
      <c r="L351" s="10">
        <v>24108.67</v>
      </c>
      <c r="M351" s="10">
        <v>18834.46</v>
      </c>
      <c r="N351" s="10">
        <f>B351+C351+D351+E351+F351+G351+H351+I351+J351+K351+L351+M351</f>
        <v>287205.93</v>
      </c>
    </row>
    <row r="352" spans="1:14" x14ac:dyDescent="0.2">
      <c r="A352" s="17" t="s">
        <v>240</v>
      </c>
      <c r="B352" s="10">
        <v>5122.75</v>
      </c>
      <c r="C352" s="10">
        <v>5351.75</v>
      </c>
      <c r="D352" s="10">
        <v>7454.75</v>
      </c>
      <c r="E352" s="10">
        <v>6188.8</v>
      </c>
      <c r="F352" s="10">
        <v>6056.3</v>
      </c>
      <c r="G352" s="10">
        <v>5262.4</v>
      </c>
      <c r="H352" s="10">
        <v>5559.19</v>
      </c>
      <c r="I352" s="10">
        <v>5338.41</v>
      </c>
      <c r="J352" s="10">
        <v>4524</v>
      </c>
      <c r="K352" s="10">
        <v>3323.3</v>
      </c>
      <c r="L352" s="10">
        <v>4403.75</v>
      </c>
      <c r="M352" s="10">
        <v>4352.8500000000004</v>
      </c>
      <c r="N352" s="10">
        <f>B352+C352+D352+E352+F352+G352+H352+I352+J352+K352+L352+M352</f>
        <v>62938.250000000007</v>
      </c>
    </row>
    <row r="353" spans="1:14" ht="4.95" customHeight="1" x14ac:dyDescent="0.2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</row>
    <row r="354" spans="1:14" ht="4.95" customHeight="1" x14ac:dyDescent="0.2"/>
    <row r="355" spans="1:14" x14ac:dyDescent="0.2">
      <c r="A355" s="16" t="s">
        <v>241</v>
      </c>
      <c r="B355" s="9">
        <f t="shared" ref="B355:N355" si="74">SUM(B351:B352)</f>
        <v>29381.55</v>
      </c>
      <c r="C355" s="9">
        <f t="shared" si="74"/>
        <v>40922.53</v>
      </c>
      <c r="D355" s="9">
        <f t="shared" si="74"/>
        <v>37095</v>
      </c>
      <c r="E355" s="9">
        <f t="shared" si="74"/>
        <v>29648.87</v>
      </c>
      <c r="F355" s="9">
        <f t="shared" si="74"/>
        <v>32643.61</v>
      </c>
      <c r="G355" s="9">
        <f t="shared" si="74"/>
        <v>27571.659999999996</v>
      </c>
      <c r="H355" s="9">
        <f t="shared" si="74"/>
        <v>26580.799999999999</v>
      </c>
      <c r="I355" s="9">
        <f t="shared" si="74"/>
        <v>20610.059999999998</v>
      </c>
      <c r="J355" s="9">
        <f t="shared" si="74"/>
        <v>28824.3</v>
      </c>
      <c r="K355" s="9">
        <f t="shared" si="74"/>
        <v>25166.07</v>
      </c>
      <c r="L355" s="9">
        <f t="shared" si="74"/>
        <v>28512.42</v>
      </c>
      <c r="M355" s="9">
        <f t="shared" si="74"/>
        <v>23187.309999999998</v>
      </c>
      <c r="N355" s="9">
        <f t="shared" si="74"/>
        <v>350144.18</v>
      </c>
    </row>
    <row r="356" spans="1:14" ht="4.95" customHeight="1" x14ac:dyDescent="0.2"/>
    <row r="357" spans="1:14" x14ac:dyDescent="0.2">
      <c r="A357" s="16" t="s">
        <v>242</v>
      </c>
    </row>
    <row r="358" spans="1:14" x14ac:dyDescent="0.2">
      <c r="A358" s="17" t="s">
        <v>243</v>
      </c>
      <c r="B358" s="10">
        <v>187.5</v>
      </c>
      <c r="C358" s="10">
        <v>0</v>
      </c>
      <c r="D358" s="10">
        <v>0</v>
      </c>
      <c r="E358" s="10">
        <v>24</v>
      </c>
      <c r="F358" s="10">
        <v>13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13</v>
      </c>
      <c r="N358" s="10">
        <f>B358+C358+D358+E358+F358+G358+H358+I358+J358+K358+L358+M358</f>
        <v>237.5</v>
      </c>
    </row>
    <row r="359" spans="1:14" x14ac:dyDescent="0.2">
      <c r="A359" s="17" t="s">
        <v>244</v>
      </c>
      <c r="B359" s="10">
        <v>264</v>
      </c>
      <c r="C359" s="10">
        <v>154</v>
      </c>
      <c r="D359" s="10">
        <v>259</v>
      </c>
      <c r="E359" s="10">
        <v>161</v>
      </c>
      <c r="F359" s="10">
        <v>273</v>
      </c>
      <c r="G359" s="10">
        <v>98</v>
      </c>
      <c r="H359" s="10">
        <v>196</v>
      </c>
      <c r="I359" s="10">
        <v>196</v>
      </c>
      <c r="J359" s="10">
        <v>147</v>
      </c>
      <c r="K359" s="10">
        <v>203</v>
      </c>
      <c r="L359" s="10">
        <v>154</v>
      </c>
      <c r="M359" s="10">
        <v>98</v>
      </c>
      <c r="N359" s="10">
        <f>B359+C359+D359+E359+F359+G359+H359+I359+J359+K359+L359+M359</f>
        <v>2203</v>
      </c>
    </row>
    <row r="360" spans="1:14" x14ac:dyDescent="0.2">
      <c r="A360" s="17" t="s">
        <v>245</v>
      </c>
      <c r="B360" s="10">
        <v>60</v>
      </c>
      <c r="C360" s="10">
        <v>0</v>
      </c>
      <c r="D360" s="10">
        <v>0</v>
      </c>
      <c r="E360" s="10">
        <v>11</v>
      </c>
      <c r="F360" s="10">
        <v>0</v>
      </c>
      <c r="G360" s="10">
        <v>0</v>
      </c>
      <c r="H360" s="10">
        <v>19</v>
      </c>
      <c r="I360" s="10">
        <v>0</v>
      </c>
      <c r="J360" s="10">
        <v>0</v>
      </c>
      <c r="K360" s="10">
        <v>0</v>
      </c>
      <c r="L360" s="10">
        <v>19</v>
      </c>
      <c r="M360" s="10">
        <v>65</v>
      </c>
      <c r="N360" s="10">
        <f>B360+C360+D360+E360+F360+G360+H360+I360+J360+K360+L360+M360</f>
        <v>174</v>
      </c>
    </row>
    <row r="361" spans="1:14" ht="4.95" customHeight="1" x14ac:dyDescent="0.2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</row>
    <row r="362" spans="1:14" ht="4.95" customHeight="1" x14ac:dyDescent="0.2"/>
    <row r="363" spans="1:14" x14ac:dyDescent="0.2">
      <c r="A363" s="16" t="s">
        <v>246</v>
      </c>
      <c r="B363" s="9">
        <f t="shared" ref="B363:N363" si="75">SUM(B358:B360)</f>
        <v>511.5</v>
      </c>
      <c r="C363" s="9">
        <f t="shared" si="75"/>
        <v>154</v>
      </c>
      <c r="D363" s="9">
        <f t="shared" si="75"/>
        <v>259</v>
      </c>
      <c r="E363" s="9">
        <f t="shared" si="75"/>
        <v>196</v>
      </c>
      <c r="F363" s="9">
        <f t="shared" si="75"/>
        <v>286</v>
      </c>
      <c r="G363" s="9">
        <f t="shared" si="75"/>
        <v>98</v>
      </c>
      <c r="H363" s="9">
        <f t="shared" si="75"/>
        <v>215</v>
      </c>
      <c r="I363" s="9">
        <f t="shared" si="75"/>
        <v>196</v>
      </c>
      <c r="J363" s="9">
        <f t="shared" si="75"/>
        <v>147</v>
      </c>
      <c r="K363" s="9">
        <f t="shared" si="75"/>
        <v>203</v>
      </c>
      <c r="L363" s="9">
        <f t="shared" si="75"/>
        <v>173</v>
      </c>
      <c r="M363" s="9">
        <f t="shared" si="75"/>
        <v>176</v>
      </c>
      <c r="N363" s="9">
        <f t="shared" si="75"/>
        <v>2614.5</v>
      </c>
    </row>
    <row r="364" spans="1:14" ht="4.95" customHeight="1" x14ac:dyDescent="0.2"/>
    <row r="365" spans="1:14" ht="4.95" customHeight="1" x14ac:dyDescent="0.2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</row>
    <row r="366" spans="1:14" ht="4.95" customHeight="1" x14ac:dyDescent="0.2"/>
    <row r="367" spans="1:14" x14ac:dyDescent="0.2">
      <c r="A367" s="16" t="s">
        <v>247</v>
      </c>
      <c r="B367" s="9">
        <f t="shared" ref="B367:N367" si="76">B355+B363</f>
        <v>29893.05</v>
      </c>
      <c r="C367" s="9">
        <f t="shared" si="76"/>
        <v>41076.53</v>
      </c>
      <c r="D367" s="9">
        <f t="shared" si="76"/>
        <v>37354</v>
      </c>
      <c r="E367" s="9">
        <f t="shared" si="76"/>
        <v>29844.87</v>
      </c>
      <c r="F367" s="9">
        <f t="shared" si="76"/>
        <v>32929.61</v>
      </c>
      <c r="G367" s="9">
        <f t="shared" si="76"/>
        <v>27669.659999999996</v>
      </c>
      <c r="H367" s="9">
        <f t="shared" si="76"/>
        <v>26795.8</v>
      </c>
      <c r="I367" s="9">
        <f t="shared" si="76"/>
        <v>20806.059999999998</v>
      </c>
      <c r="J367" s="9">
        <f t="shared" si="76"/>
        <v>28971.3</v>
      </c>
      <c r="K367" s="9">
        <f t="shared" si="76"/>
        <v>25369.07</v>
      </c>
      <c r="L367" s="9">
        <f t="shared" si="76"/>
        <v>28685.42</v>
      </c>
      <c r="M367" s="9">
        <f t="shared" si="76"/>
        <v>23363.309999999998</v>
      </c>
      <c r="N367" s="9">
        <f t="shared" si="76"/>
        <v>352758.68</v>
      </c>
    </row>
    <row r="369" spans="1:14" x14ac:dyDescent="0.2">
      <c r="A369" s="16" t="s">
        <v>248</v>
      </c>
    </row>
    <row r="370" spans="1:14" x14ac:dyDescent="0.2">
      <c r="A370" s="17" t="s">
        <v>249</v>
      </c>
      <c r="B370" s="10">
        <v>13761.75</v>
      </c>
      <c r="C370" s="10">
        <v>11247.51</v>
      </c>
      <c r="D370" s="10">
        <v>9899.6200000000008</v>
      </c>
      <c r="E370" s="10">
        <v>7548.26</v>
      </c>
      <c r="F370" s="10">
        <v>7845.36</v>
      </c>
      <c r="G370" s="10">
        <v>7583.14</v>
      </c>
      <c r="H370" s="10">
        <v>11115.17</v>
      </c>
      <c r="I370" s="10">
        <v>6339.86</v>
      </c>
      <c r="J370" s="10">
        <v>6052.56</v>
      </c>
      <c r="K370" s="10">
        <v>7426.13</v>
      </c>
      <c r="L370" s="10">
        <v>6154.32</v>
      </c>
      <c r="M370" s="10">
        <v>4794.13</v>
      </c>
      <c r="N370" s="10">
        <f>B370+C370+D370+E370+F370+G370+H370+I370+J370+K370+L370+M370</f>
        <v>99767.810000000027</v>
      </c>
    </row>
    <row r="371" spans="1:14" x14ac:dyDescent="0.2">
      <c r="A371" s="17" t="s">
        <v>250</v>
      </c>
      <c r="B371" s="10">
        <v>82.6</v>
      </c>
      <c r="C371" s="10">
        <v>24.56</v>
      </c>
      <c r="D371" s="10">
        <v>44.91</v>
      </c>
      <c r="E371" s="10">
        <v>34.549999999999997</v>
      </c>
      <c r="F371" s="10">
        <v>41.02</v>
      </c>
      <c r="G371" s="10">
        <v>16.28</v>
      </c>
      <c r="H371" s="10">
        <v>34.67</v>
      </c>
      <c r="I371" s="10">
        <v>27.62</v>
      </c>
      <c r="J371" s="10">
        <v>21</v>
      </c>
      <c r="K371" s="10">
        <v>30.14</v>
      </c>
      <c r="L371" s="10">
        <v>-239.92</v>
      </c>
      <c r="M371" s="10">
        <v>24.54</v>
      </c>
      <c r="N371" s="10">
        <f>B371+C371+D371+E371+F371+G371+H371+I371+J371+K371+L371+M371</f>
        <v>141.97000000000003</v>
      </c>
    </row>
    <row r="372" spans="1:14" ht="4.95" customHeight="1" x14ac:dyDescent="0.2"/>
    <row r="373" spans="1:14" ht="4.95" customHeight="1" x14ac:dyDescent="0.2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</row>
    <row r="374" spans="1:14" ht="4.95" customHeight="1" x14ac:dyDescent="0.2"/>
    <row r="375" spans="1:14" x14ac:dyDescent="0.2">
      <c r="A375" s="16" t="s">
        <v>251</v>
      </c>
      <c r="B375" s="9">
        <f t="shared" ref="B375:N375" si="77">SUM(B370:B371)</f>
        <v>13844.35</v>
      </c>
      <c r="C375" s="9">
        <f t="shared" si="77"/>
        <v>11272.07</v>
      </c>
      <c r="D375" s="9">
        <f t="shared" si="77"/>
        <v>9944.5300000000007</v>
      </c>
      <c r="E375" s="9">
        <f t="shared" si="77"/>
        <v>7582.81</v>
      </c>
      <c r="F375" s="9">
        <f t="shared" si="77"/>
        <v>7886.38</v>
      </c>
      <c r="G375" s="9">
        <f t="shared" si="77"/>
        <v>7599.42</v>
      </c>
      <c r="H375" s="9">
        <f t="shared" si="77"/>
        <v>11149.84</v>
      </c>
      <c r="I375" s="9">
        <f t="shared" si="77"/>
        <v>6367.48</v>
      </c>
      <c r="J375" s="9">
        <f t="shared" si="77"/>
        <v>6073.56</v>
      </c>
      <c r="K375" s="9">
        <f t="shared" si="77"/>
        <v>7456.27</v>
      </c>
      <c r="L375" s="9">
        <f t="shared" si="77"/>
        <v>5914.4</v>
      </c>
      <c r="M375" s="9">
        <f t="shared" si="77"/>
        <v>4818.67</v>
      </c>
      <c r="N375" s="9">
        <f t="shared" si="77"/>
        <v>99909.780000000028</v>
      </c>
    </row>
    <row r="376" spans="1:14" ht="4.95" customHeight="1" x14ac:dyDescent="0.2"/>
    <row r="377" spans="1:14" x14ac:dyDescent="0.2">
      <c r="A377" s="16" t="s">
        <v>194</v>
      </c>
      <c r="B377" s="9">
        <f t="shared" ref="B377:N377" si="78">(B367)-(B375)</f>
        <v>16048.699999999999</v>
      </c>
      <c r="C377" s="9">
        <f t="shared" si="78"/>
        <v>29804.46</v>
      </c>
      <c r="D377" s="9">
        <f t="shared" si="78"/>
        <v>27409.47</v>
      </c>
      <c r="E377" s="9">
        <f t="shared" si="78"/>
        <v>22262.059999999998</v>
      </c>
      <c r="F377" s="9">
        <f t="shared" si="78"/>
        <v>25043.23</v>
      </c>
      <c r="G377" s="9">
        <f t="shared" si="78"/>
        <v>20070.239999999998</v>
      </c>
      <c r="H377" s="9">
        <f t="shared" si="78"/>
        <v>15645.96</v>
      </c>
      <c r="I377" s="9">
        <f t="shared" si="78"/>
        <v>14438.579999999998</v>
      </c>
      <c r="J377" s="9">
        <f t="shared" si="78"/>
        <v>22897.739999999998</v>
      </c>
      <c r="K377" s="9">
        <f t="shared" si="78"/>
        <v>17912.8</v>
      </c>
      <c r="L377" s="9">
        <f t="shared" si="78"/>
        <v>22771.019999999997</v>
      </c>
      <c r="M377" s="9">
        <f t="shared" si="78"/>
        <v>18544.64</v>
      </c>
      <c r="N377" s="9">
        <f t="shared" si="78"/>
        <v>252848.89999999997</v>
      </c>
    </row>
    <row r="379" spans="1:14" x14ac:dyDescent="0.2">
      <c r="A379" s="16" t="s">
        <v>252</v>
      </c>
    </row>
    <row r="381" spans="1:14" x14ac:dyDescent="0.2">
      <c r="A381" s="16" t="s">
        <v>253</v>
      </c>
    </row>
    <row r="382" spans="1:14" x14ac:dyDescent="0.2">
      <c r="A382" s="16" t="s">
        <v>254</v>
      </c>
    </row>
    <row r="383" spans="1:14" x14ac:dyDescent="0.2">
      <c r="A383" s="17" t="s">
        <v>255</v>
      </c>
      <c r="B383" s="10">
        <v>923.04</v>
      </c>
      <c r="C383" s="10">
        <v>6461.28</v>
      </c>
      <c r="D383" s="10">
        <v>6480.48</v>
      </c>
      <c r="E383" s="10">
        <v>928.8</v>
      </c>
      <c r="F383" s="10">
        <v>0</v>
      </c>
      <c r="G383" s="10">
        <v>0</v>
      </c>
      <c r="H383" s="10">
        <v>6229.44</v>
      </c>
      <c r="I383" s="10">
        <v>7613.76</v>
      </c>
      <c r="J383" s="10">
        <v>7267.68</v>
      </c>
      <c r="K383" s="10">
        <v>7959.84</v>
      </c>
      <c r="L383" s="10">
        <v>7267.68</v>
      </c>
      <c r="M383" s="10">
        <v>7267.68</v>
      </c>
      <c r="N383" s="10">
        <f>B383+C383+D383+E383+F383+G383+H383+I383+J383+K383+L383+M383</f>
        <v>58399.679999999993</v>
      </c>
    </row>
    <row r="384" spans="1:14" x14ac:dyDescent="0.2">
      <c r="A384" s="17" t="s">
        <v>256</v>
      </c>
      <c r="B384" s="10">
        <v>4159.68</v>
      </c>
      <c r="C384" s="10">
        <v>4159.68</v>
      </c>
      <c r="D384" s="10">
        <v>4258.88</v>
      </c>
      <c r="E384" s="10">
        <v>4368</v>
      </c>
      <c r="F384" s="10">
        <v>4576</v>
      </c>
      <c r="G384" s="10">
        <v>3744</v>
      </c>
      <c r="H384" s="10">
        <v>4576</v>
      </c>
      <c r="I384" s="10">
        <v>3744</v>
      </c>
      <c r="J384" s="10">
        <v>4160</v>
      </c>
      <c r="K384" s="10">
        <v>4784</v>
      </c>
      <c r="L384" s="10">
        <v>4368</v>
      </c>
      <c r="M384" s="10">
        <v>3744</v>
      </c>
      <c r="N384" s="10">
        <f>B384+C384+D384+E384+F384+G384+H384+I384+J384+K384+L384+M384</f>
        <v>50642.240000000005</v>
      </c>
    </row>
    <row r="385" spans="1:14" x14ac:dyDescent="0.2">
      <c r="A385" s="17" t="s">
        <v>257</v>
      </c>
      <c r="B385" s="10">
        <v>7789.6</v>
      </c>
      <c r="C385" s="10">
        <v>7616.65</v>
      </c>
      <c r="D385" s="10">
        <v>7329.23</v>
      </c>
      <c r="E385" s="10">
        <v>8585.83</v>
      </c>
      <c r="F385" s="10">
        <v>8895.44</v>
      </c>
      <c r="G385" s="10">
        <v>6157.68</v>
      </c>
      <c r="H385" s="10">
        <v>6953.49</v>
      </c>
      <c r="I385" s="10">
        <v>5542.24</v>
      </c>
      <c r="J385" s="10">
        <v>5224.22</v>
      </c>
      <c r="K385" s="10">
        <v>5794.16</v>
      </c>
      <c r="L385" s="10">
        <v>5038.3999999999996</v>
      </c>
      <c r="M385" s="10">
        <v>5290.32</v>
      </c>
      <c r="N385" s="10">
        <f>B385+C385+D385+E385+F385+G385+H385+I385+J385+K385+L385+M385</f>
        <v>80217.25999999998</v>
      </c>
    </row>
    <row r="386" spans="1:14" x14ac:dyDescent="0.2">
      <c r="A386" s="16" t="s">
        <v>258</v>
      </c>
      <c r="B386" s="9">
        <f t="shared" ref="B386:N386" si="79">SUM(B383:B385)</f>
        <v>12872.32</v>
      </c>
      <c r="C386" s="9">
        <f t="shared" si="79"/>
        <v>18237.61</v>
      </c>
      <c r="D386" s="9">
        <f t="shared" si="79"/>
        <v>18068.59</v>
      </c>
      <c r="E386" s="9">
        <f t="shared" si="79"/>
        <v>13882.630000000001</v>
      </c>
      <c r="F386" s="9">
        <f t="shared" si="79"/>
        <v>13471.44</v>
      </c>
      <c r="G386" s="9">
        <f t="shared" si="79"/>
        <v>9901.68</v>
      </c>
      <c r="H386" s="9">
        <f t="shared" si="79"/>
        <v>17758.93</v>
      </c>
      <c r="I386" s="9">
        <f t="shared" si="79"/>
        <v>16900</v>
      </c>
      <c r="J386" s="9">
        <f t="shared" si="79"/>
        <v>16651.900000000001</v>
      </c>
      <c r="K386" s="9">
        <f t="shared" si="79"/>
        <v>18538</v>
      </c>
      <c r="L386" s="9">
        <f t="shared" si="79"/>
        <v>16674.080000000002</v>
      </c>
      <c r="M386" s="9">
        <f t="shared" si="79"/>
        <v>16302</v>
      </c>
      <c r="N386" s="9">
        <f t="shared" si="79"/>
        <v>189259.18</v>
      </c>
    </row>
    <row r="388" spans="1:14" x14ac:dyDescent="0.2">
      <c r="A388" s="16" t="s">
        <v>259</v>
      </c>
    </row>
    <row r="389" spans="1:14" x14ac:dyDescent="0.2">
      <c r="A389" s="17" t="s">
        <v>260</v>
      </c>
      <c r="B389" s="10">
        <v>1681.38</v>
      </c>
      <c r="C389" s="10">
        <v>1691.03</v>
      </c>
      <c r="D389" s="10">
        <v>1955.16</v>
      </c>
      <c r="E389" s="10">
        <v>1596.61</v>
      </c>
      <c r="F389" s="10">
        <v>1590.36</v>
      </c>
      <c r="G389" s="10">
        <v>1374.91</v>
      </c>
      <c r="H389" s="10">
        <v>1436.92</v>
      </c>
      <c r="I389" s="10">
        <v>1922.45</v>
      </c>
      <c r="J389" s="10">
        <v>1764.09</v>
      </c>
      <c r="K389" s="10">
        <v>1758.65</v>
      </c>
      <c r="L389" s="10">
        <v>1830.61</v>
      </c>
      <c r="M389" s="10">
        <v>1620.53</v>
      </c>
      <c r="N389" s="10">
        <f>B389+C389+D389+E389+F389+G389+H389+I389+J389+K389+L389+M389</f>
        <v>20222.7</v>
      </c>
    </row>
    <row r="390" spans="1:14" x14ac:dyDescent="0.2">
      <c r="A390" s="17" t="s">
        <v>261</v>
      </c>
      <c r="B390" s="10">
        <v>20012.189999999999</v>
      </c>
      <c r="C390" s="10">
        <v>21273.54</v>
      </c>
      <c r="D390" s="10">
        <v>25316.15</v>
      </c>
      <c r="E390" s="10">
        <v>25126.3</v>
      </c>
      <c r="F390" s="10">
        <v>22093.96</v>
      </c>
      <c r="G390" s="10">
        <v>21548.57</v>
      </c>
      <c r="H390" s="10">
        <v>21649.73</v>
      </c>
      <c r="I390" s="10">
        <v>22886.84</v>
      </c>
      <c r="J390" s="10">
        <v>24386.33</v>
      </c>
      <c r="K390" s="10">
        <v>25015.39</v>
      </c>
      <c r="L390" s="10">
        <v>24453.23</v>
      </c>
      <c r="M390" s="10">
        <v>22222.05</v>
      </c>
      <c r="N390" s="10">
        <f>B390+C390+D390+E390+F390+G390+H390+I390+J390+K390+L390+M390</f>
        <v>275984.28000000009</v>
      </c>
    </row>
    <row r="391" spans="1:14" x14ac:dyDescent="0.2">
      <c r="A391" s="17" t="s">
        <v>262</v>
      </c>
      <c r="B391" s="10">
        <v>2991.73</v>
      </c>
      <c r="C391" s="10">
        <v>3095.69</v>
      </c>
      <c r="D391" s="10">
        <v>3035.29</v>
      </c>
      <c r="E391" s="10">
        <v>3884.59</v>
      </c>
      <c r="F391" s="10">
        <v>3853.99</v>
      </c>
      <c r="G391" s="10">
        <v>3592.61</v>
      </c>
      <c r="H391" s="10">
        <v>2994.91</v>
      </c>
      <c r="I391" s="10">
        <v>3279.5</v>
      </c>
      <c r="J391" s="10">
        <v>3586.46</v>
      </c>
      <c r="K391" s="10">
        <v>4206.42</v>
      </c>
      <c r="L391" s="10">
        <v>3251.42</v>
      </c>
      <c r="M391" s="10">
        <v>3784.51</v>
      </c>
      <c r="N391" s="10">
        <f>B391+C391+D391+E391+F391+G391+H391+I391+J391+K391+L391+M391</f>
        <v>41557.120000000003</v>
      </c>
    </row>
    <row r="392" spans="1:14" x14ac:dyDescent="0.2">
      <c r="A392" s="17" t="s">
        <v>263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114.38</v>
      </c>
      <c r="K392" s="10">
        <v>0</v>
      </c>
      <c r="L392" s="10">
        <v>0</v>
      </c>
      <c r="M392" s="10">
        <v>0</v>
      </c>
      <c r="N392" s="10">
        <f>B392+C392+D392+E392+F392+G392+H392+I392+J392+K392+L392+M392</f>
        <v>114.38</v>
      </c>
    </row>
    <row r="393" spans="1:14" x14ac:dyDescent="0.2">
      <c r="A393" s="17" t="s">
        <v>264</v>
      </c>
      <c r="B393" s="10">
        <v>0</v>
      </c>
      <c r="C393" s="10">
        <v>769.5</v>
      </c>
      <c r="D393" s="10">
        <v>532</v>
      </c>
      <c r="E393" s="10">
        <v>142.5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171</v>
      </c>
      <c r="N393" s="10">
        <f>B393+C393+D393+E393+F393+G393+H393+I393+J393+K393+L393+M393</f>
        <v>1615</v>
      </c>
    </row>
    <row r="394" spans="1:14" x14ac:dyDescent="0.2">
      <c r="A394" s="16" t="s">
        <v>265</v>
      </c>
      <c r="B394" s="9">
        <f t="shared" ref="B394:N394" si="80">SUM(B389:B393)</f>
        <v>24685.3</v>
      </c>
      <c r="C394" s="9">
        <f t="shared" si="80"/>
        <v>26829.759999999998</v>
      </c>
      <c r="D394" s="9">
        <f t="shared" si="80"/>
        <v>30838.600000000002</v>
      </c>
      <c r="E394" s="9">
        <f t="shared" si="80"/>
        <v>30750</v>
      </c>
      <c r="F394" s="9">
        <f t="shared" si="80"/>
        <v>27538.309999999998</v>
      </c>
      <c r="G394" s="9">
        <f t="shared" si="80"/>
        <v>26516.09</v>
      </c>
      <c r="H394" s="9">
        <f t="shared" si="80"/>
        <v>26081.56</v>
      </c>
      <c r="I394" s="9">
        <f t="shared" si="80"/>
        <v>28088.79</v>
      </c>
      <c r="J394" s="9">
        <f t="shared" si="80"/>
        <v>29851.260000000002</v>
      </c>
      <c r="K394" s="9">
        <f t="shared" si="80"/>
        <v>30980.46</v>
      </c>
      <c r="L394" s="9">
        <f t="shared" si="80"/>
        <v>29535.260000000002</v>
      </c>
      <c r="M394" s="9">
        <f t="shared" si="80"/>
        <v>27798.089999999997</v>
      </c>
      <c r="N394" s="9">
        <f t="shared" si="80"/>
        <v>339493.4800000001</v>
      </c>
    </row>
    <row r="395" spans="1:14" x14ac:dyDescent="0.2">
      <c r="A395" s="16" t="s">
        <v>266</v>
      </c>
      <c r="B395" s="9">
        <f t="shared" ref="B395:N395" si="81">B386+B394</f>
        <v>37557.619999999995</v>
      </c>
      <c r="C395" s="9">
        <f t="shared" si="81"/>
        <v>45067.369999999995</v>
      </c>
      <c r="D395" s="9">
        <f t="shared" si="81"/>
        <v>48907.19</v>
      </c>
      <c r="E395" s="9">
        <f t="shared" si="81"/>
        <v>44632.630000000005</v>
      </c>
      <c r="F395" s="9">
        <f t="shared" si="81"/>
        <v>41009.75</v>
      </c>
      <c r="G395" s="9">
        <f t="shared" si="81"/>
        <v>36417.770000000004</v>
      </c>
      <c r="H395" s="9">
        <f t="shared" si="81"/>
        <v>43840.490000000005</v>
      </c>
      <c r="I395" s="9">
        <f t="shared" si="81"/>
        <v>44988.79</v>
      </c>
      <c r="J395" s="9">
        <f t="shared" si="81"/>
        <v>46503.16</v>
      </c>
      <c r="K395" s="9">
        <f t="shared" si="81"/>
        <v>49518.46</v>
      </c>
      <c r="L395" s="9">
        <f t="shared" si="81"/>
        <v>46209.340000000004</v>
      </c>
      <c r="M395" s="9">
        <f t="shared" si="81"/>
        <v>44100.09</v>
      </c>
      <c r="N395" s="9">
        <f t="shared" si="81"/>
        <v>528752.66000000015</v>
      </c>
    </row>
    <row r="397" spans="1:14" x14ac:dyDescent="0.2">
      <c r="A397" s="16" t="s">
        <v>267</v>
      </c>
    </row>
    <row r="398" spans="1:14" x14ac:dyDescent="0.2">
      <c r="A398" s="17" t="s">
        <v>268</v>
      </c>
      <c r="B398" s="10">
        <v>1750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f t="shared" ref="N398:N404" si="82">B398+C398+D398+E398+F398+G398+H398+I398+J398+K398+L398+M398</f>
        <v>1750</v>
      </c>
    </row>
    <row r="399" spans="1:14" x14ac:dyDescent="0.2">
      <c r="A399" s="17" t="s">
        <v>269</v>
      </c>
      <c r="B399" s="10">
        <v>2844.15</v>
      </c>
      <c r="C399" s="10">
        <v>3844.34</v>
      </c>
      <c r="D399" s="10">
        <v>6274.56</v>
      </c>
      <c r="E399" s="10">
        <v>1690.22</v>
      </c>
      <c r="F399" s="10">
        <v>3057.02</v>
      </c>
      <c r="G399" s="10">
        <v>2919.57</v>
      </c>
      <c r="H399" s="10">
        <v>2532.1799999999998</v>
      </c>
      <c r="I399" s="10">
        <v>4550.42</v>
      </c>
      <c r="J399" s="10">
        <v>3706.16</v>
      </c>
      <c r="K399" s="10">
        <v>3471.47</v>
      </c>
      <c r="L399" s="10">
        <v>3338.94</v>
      </c>
      <c r="M399" s="10">
        <v>3233.58</v>
      </c>
      <c r="N399" s="10">
        <f t="shared" si="82"/>
        <v>41462.61</v>
      </c>
    </row>
    <row r="400" spans="1:14" x14ac:dyDescent="0.2">
      <c r="A400" s="17" t="s">
        <v>270</v>
      </c>
      <c r="B400" s="10">
        <v>214.32</v>
      </c>
      <c r="C400" s="10">
        <v>236.63</v>
      </c>
      <c r="D400" s="10">
        <v>245.44</v>
      </c>
      <c r="E400" s="10">
        <v>235.57</v>
      </c>
      <c r="F400" s="10">
        <v>211.6</v>
      </c>
      <c r="G400" s="10">
        <v>209.61</v>
      </c>
      <c r="H400" s="10">
        <v>232.32</v>
      </c>
      <c r="I400" s="10">
        <v>229.27</v>
      </c>
      <c r="J400" s="10">
        <v>240.47</v>
      </c>
      <c r="K400" s="10">
        <v>238.17</v>
      </c>
      <c r="L400" s="10">
        <v>216.92</v>
      </c>
      <c r="M400" s="10">
        <v>245.68</v>
      </c>
      <c r="N400" s="10">
        <f t="shared" si="82"/>
        <v>2756</v>
      </c>
    </row>
    <row r="401" spans="1:14" x14ac:dyDescent="0.2">
      <c r="A401" s="17" t="s">
        <v>271</v>
      </c>
      <c r="B401" s="10">
        <v>843.78</v>
      </c>
      <c r="C401" s="10">
        <v>924.19</v>
      </c>
      <c r="D401" s="10">
        <v>721.75</v>
      </c>
      <c r="E401" s="10">
        <v>1030.27</v>
      </c>
      <c r="F401" s="10">
        <v>1211.33</v>
      </c>
      <c r="G401" s="10">
        <v>1321.61</v>
      </c>
      <c r="H401" s="10">
        <v>651.5</v>
      </c>
      <c r="I401" s="10">
        <v>814.31</v>
      </c>
      <c r="J401" s="10">
        <v>1073.3499999999999</v>
      </c>
      <c r="K401" s="10">
        <v>874.8</v>
      </c>
      <c r="L401" s="10">
        <v>813.15</v>
      </c>
      <c r="M401" s="10">
        <v>1084.43</v>
      </c>
      <c r="N401" s="10">
        <f t="shared" si="82"/>
        <v>11364.47</v>
      </c>
    </row>
    <row r="402" spans="1:14" x14ac:dyDescent="0.2">
      <c r="A402" s="17" t="s">
        <v>272</v>
      </c>
      <c r="B402" s="10">
        <v>2270.96</v>
      </c>
      <c r="C402" s="10">
        <v>1201.44</v>
      </c>
      <c r="D402" s="10">
        <v>1174.8800000000001</v>
      </c>
      <c r="E402" s="10">
        <v>534</v>
      </c>
      <c r="F402" s="10">
        <v>1621.84</v>
      </c>
      <c r="G402" s="10">
        <v>2059.02</v>
      </c>
      <c r="H402" s="10">
        <v>1719.03</v>
      </c>
      <c r="I402" s="10">
        <v>4806.4399999999996</v>
      </c>
      <c r="J402" s="10">
        <v>116</v>
      </c>
      <c r="K402" s="10">
        <v>315.52</v>
      </c>
      <c r="L402" s="10">
        <v>544.64</v>
      </c>
      <c r="M402" s="10">
        <v>1609.84</v>
      </c>
      <c r="N402" s="10">
        <f t="shared" si="82"/>
        <v>17973.61</v>
      </c>
    </row>
    <row r="403" spans="1:14" x14ac:dyDescent="0.2">
      <c r="A403" s="17" t="s">
        <v>273</v>
      </c>
      <c r="B403" s="10">
        <v>0</v>
      </c>
      <c r="C403" s="10">
        <v>356.72</v>
      </c>
      <c r="D403" s="10">
        <v>973.84</v>
      </c>
      <c r="E403" s="10">
        <v>268.08</v>
      </c>
      <c r="F403" s="10">
        <v>58</v>
      </c>
      <c r="G403" s="10">
        <v>120.16</v>
      </c>
      <c r="H403" s="10">
        <v>0</v>
      </c>
      <c r="I403" s="10">
        <v>0</v>
      </c>
      <c r="J403" s="10">
        <v>175.92</v>
      </c>
      <c r="K403" s="10">
        <v>124.32</v>
      </c>
      <c r="L403" s="10">
        <v>0</v>
      </c>
      <c r="M403" s="10">
        <v>278.72000000000003</v>
      </c>
      <c r="N403" s="10">
        <f t="shared" si="82"/>
        <v>2355.7600000000002</v>
      </c>
    </row>
    <row r="404" spans="1:14" x14ac:dyDescent="0.2">
      <c r="A404" s="17" t="s">
        <v>274</v>
      </c>
      <c r="B404" s="10">
        <v>3340.1</v>
      </c>
      <c r="C404" s="10">
        <v>140</v>
      </c>
      <c r="D404" s="10">
        <v>0</v>
      </c>
      <c r="E404" s="10">
        <v>0</v>
      </c>
      <c r="F404" s="10">
        <v>0</v>
      </c>
      <c r="G404" s="10">
        <v>3386.85</v>
      </c>
      <c r="H404" s="10">
        <v>1795.93</v>
      </c>
      <c r="I404" s="10">
        <v>0</v>
      </c>
      <c r="J404" s="10">
        <v>1686.65</v>
      </c>
      <c r="K404" s="10">
        <v>0</v>
      </c>
      <c r="L404" s="10">
        <v>0</v>
      </c>
      <c r="M404" s="10">
        <v>2142.38</v>
      </c>
      <c r="N404" s="10">
        <f t="shared" si="82"/>
        <v>12491.91</v>
      </c>
    </row>
    <row r="405" spans="1:14" x14ac:dyDescent="0.2">
      <c r="A405" s="16" t="s">
        <v>275</v>
      </c>
      <c r="B405" s="9">
        <f t="shared" ref="B405:N405" si="83">SUM(B398:B404)</f>
        <v>11263.31</v>
      </c>
      <c r="C405" s="9">
        <f t="shared" si="83"/>
        <v>6703.3200000000006</v>
      </c>
      <c r="D405" s="9">
        <f t="shared" si="83"/>
        <v>9390.4700000000012</v>
      </c>
      <c r="E405" s="9">
        <f t="shared" si="83"/>
        <v>3758.14</v>
      </c>
      <c r="F405" s="9">
        <f t="shared" si="83"/>
        <v>6159.79</v>
      </c>
      <c r="G405" s="9">
        <f t="shared" si="83"/>
        <v>10016.82</v>
      </c>
      <c r="H405" s="9">
        <f t="shared" si="83"/>
        <v>6930.96</v>
      </c>
      <c r="I405" s="9">
        <f t="shared" si="83"/>
        <v>10400.439999999999</v>
      </c>
      <c r="J405" s="9">
        <f t="shared" si="83"/>
        <v>6998.5499999999993</v>
      </c>
      <c r="K405" s="9">
        <f t="shared" si="83"/>
        <v>5024.2799999999988</v>
      </c>
      <c r="L405" s="9">
        <f t="shared" si="83"/>
        <v>4913.6500000000005</v>
      </c>
      <c r="M405" s="9">
        <f t="shared" si="83"/>
        <v>8594.630000000001</v>
      </c>
      <c r="N405" s="9">
        <f t="shared" si="83"/>
        <v>90154.36</v>
      </c>
    </row>
    <row r="406" spans="1:14" ht="4.95" customHeight="1" x14ac:dyDescent="0.2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spans="1:14" ht="4.95" customHeight="1" x14ac:dyDescent="0.2"/>
    <row r="408" spans="1:14" x14ac:dyDescent="0.2">
      <c r="A408" s="16" t="s">
        <v>276</v>
      </c>
      <c r="B408" s="9">
        <f t="shared" ref="B408:N408" si="84">B395+B405</f>
        <v>48820.929999999993</v>
      </c>
      <c r="C408" s="9">
        <f t="shared" si="84"/>
        <v>51770.689999999995</v>
      </c>
      <c r="D408" s="9">
        <f t="shared" si="84"/>
        <v>58297.66</v>
      </c>
      <c r="E408" s="9">
        <f t="shared" si="84"/>
        <v>48390.770000000004</v>
      </c>
      <c r="F408" s="9">
        <f t="shared" si="84"/>
        <v>47169.54</v>
      </c>
      <c r="G408" s="9">
        <f t="shared" si="84"/>
        <v>46434.590000000004</v>
      </c>
      <c r="H408" s="9">
        <f t="shared" si="84"/>
        <v>50771.450000000004</v>
      </c>
      <c r="I408" s="9">
        <f t="shared" si="84"/>
        <v>55389.229999999996</v>
      </c>
      <c r="J408" s="9">
        <f t="shared" si="84"/>
        <v>53501.710000000006</v>
      </c>
      <c r="K408" s="9">
        <f t="shared" si="84"/>
        <v>54542.74</v>
      </c>
      <c r="L408" s="9">
        <f t="shared" si="84"/>
        <v>51122.990000000005</v>
      </c>
      <c r="M408" s="9">
        <f t="shared" si="84"/>
        <v>52694.720000000001</v>
      </c>
      <c r="N408" s="9">
        <f t="shared" si="84"/>
        <v>618907.02000000014</v>
      </c>
    </row>
    <row r="409" spans="1:14" ht="4.95" customHeight="1" x14ac:dyDescent="0.2"/>
    <row r="410" spans="1:14" x14ac:dyDescent="0.2">
      <c r="A410" s="16" t="s">
        <v>114</v>
      </c>
    </row>
    <row r="411" spans="1:14" x14ac:dyDescent="0.2">
      <c r="A411" s="17" t="s">
        <v>277</v>
      </c>
      <c r="B411" s="10">
        <v>2328.5</v>
      </c>
      <c r="C411" s="10">
        <v>1624.67</v>
      </c>
      <c r="D411" s="10">
        <v>1385.02</v>
      </c>
      <c r="E411" s="10">
        <v>22.86</v>
      </c>
      <c r="F411" s="10">
        <v>1557.91</v>
      </c>
      <c r="G411" s="10">
        <v>1557.91</v>
      </c>
      <c r="H411" s="10">
        <v>653.6</v>
      </c>
      <c r="I411" s="10">
        <v>32.11</v>
      </c>
      <c r="J411" s="10">
        <v>1536.23</v>
      </c>
      <c r="K411" s="10">
        <v>1338.53</v>
      </c>
      <c r="L411" s="10">
        <v>1736.13</v>
      </c>
      <c r="M411" s="10">
        <v>844.81</v>
      </c>
      <c r="N411" s="10">
        <f t="shared" ref="N411:N421" si="85">B411+C411+D411+E411+F411+G411+H411+I411+J411+K411+L411+M411</f>
        <v>14618.28</v>
      </c>
    </row>
    <row r="412" spans="1:14" x14ac:dyDescent="0.2">
      <c r="A412" s="17" t="s">
        <v>278</v>
      </c>
      <c r="B412" s="10">
        <v>0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584.66999999999996</v>
      </c>
      <c r="J412" s="10">
        <v>337.45</v>
      </c>
      <c r="K412" s="10">
        <v>-337.45</v>
      </c>
      <c r="L412" s="10">
        <v>0</v>
      </c>
      <c r="M412" s="10">
        <v>0</v>
      </c>
      <c r="N412" s="10">
        <f t="shared" si="85"/>
        <v>584.66999999999985</v>
      </c>
    </row>
    <row r="413" spans="1:14" x14ac:dyDescent="0.2">
      <c r="A413" s="17" t="s">
        <v>279</v>
      </c>
      <c r="B413" s="10">
        <v>1212.32</v>
      </c>
      <c r="C413" s="10">
        <v>606.16</v>
      </c>
      <c r="D413" s="10">
        <v>606.16</v>
      </c>
      <c r="E413" s="10">
        <v>606.16</v>
      </c>
      <c r="F413" s="10">
        <v>606.16</v>
      </c>
      <c r="G413" s="10">
        <v>606.16</v>
      </c>
      <c r="H413" s="10">
        <v>606.16</v>
      </c>
      <c r="I413" s="10">
        <v>606.16</v>
      </c>
      <c r="J413" s="10">
        <v>606.16</v>
      </c>
      <c r="K413" s="10">
        <v>606.16</v>
      </c>
      <c r="L413" s="10">
        <v>606.16</v>
      </c>
      <c r="M413" s="10">
        <v>606.16</v>
      </c>
      <c r="N413" s="10">
        <f t="shared" si="85"/>
        <v>7880.079999999999</v>
      </c>
    </row>
    <row r="414" spans="1:14" x14ac:dyDescent="0.2">
      <c r="A414" s="17" t="s">
        <v>280</v>
      </c>
      <c r="B414" s="10">
        <v>0</v>
      </c>
      <c r="C414" s="10">
        <v>540.85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f t="shared" si="85"/>
        <v>540.85</v>
      </c>
    </row>
    <row r="415" spans="1:14" x14ac:dyDescent="0.2">
      <c r="A415" s="17" t="s">
        <v>281</v>
      </c>
      <c r="B415" s="10">
        <v>505.88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505.87</v>
      </c>
      <c r="I415" s="10">
        <v>0</v>
      </c>
      <c r="J415" s="10">
        <v>0</v>
      </c>
      <c r="K415" s="10">
        <v>0</v>
      </c>
      <c r="L415" s="10">
        <v>520.24</v>
      </c>
      <c r="M415" s="10">
        <v>0</v>
      </c>
      <c r="N415" s="10">
        <f t="shared" si="85"/>
        <v>1531.99</v>
      </c>
    </row>
    <row r="416" spans="1:14" x14ac:dyDescent="0.2">
      <c r="A416" s="17" t="s">
        <v>282</v>
      </c>
      <c r="B416" s="10">
        <v>0</v>
      </c>
      <c r="C416" s="10">
        <v>0</v>
      </c>
      <c r="D416" s="10">
        <v>0</v>
      </c>
      <c r="E416" s="10">
        <v>271.02999999999997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f t="shared" si="85"/>
        <v>271.02999999999997</v>
      </c>
    </row>
    <row r="417" spans="1:14" x14ac:dyDescent="0.2">
      <c r="A417" s="17" t="s">
        <v>283</v>
      </c>
      <c r="B417" s="10">
        <v>81.12</v>
      </c>
      <c r="C417" s="10">
        <v>84.42</v>
      </c>
      <c r="D417" s="10">
        <v>109.75</v>
      </c>
      <c r="E417" s="10">
        <v>210.85</v>
      </c>
      <c r="F417" s="10">
        <v>104.54</v>
      </c>
      <c r="G417" s="10">
        <v>152.82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f t="shared" si="85"/>
        <v>743.5</v>
      </c>
    </row>
    <row r="418" spans="1:14" x14ac:dyDescent="0.2">
      <c r="A418" s="17" t="s">
        <v>284</v>
      </c>
      <c r="B418" s="10">
        <v>574.29</v>
      </c>
      <c r="C418" s="10">
        <v>947.73</v>
      </c>
      <c r="D418" s="10">
        <v>55.14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f t="shared" si="85"/>
        <v>1577.16</v>
      </c>
    </row>
    <row r="419" spans="1:14" x14ac:dyDescent="0.2">
      <c r="A419" s="17" t="s">
        <v>285</v>
      </c>
      <c r="B419" s="10">
        <v>0</v>
      </c>
      <c r="C419" s="10">
        <v>0</v>
      </c>
      <c r="D419" s="10">
        <v>0</v>
      </c>
      <c r="E419" s="10">
        <v>0</v>
      </c>
      <c r="F419" s="10">
        <v>469.42</v>
      </c>
      <c r="G419" s="10">
        <v>0</v>
      </c>
      <c r="H419" s="10">
        <v>0</v>
      </c>
      <c r="I419" s="10">
        <v>71.77</v>
      </c>
      <c r="J419" s="10">
        <v>348.07</v>
      </c>
      <c r="K419" s="10">
        <v>58.17</v>
      </c>
      <c r="L419" s="10">
        <v>464.76</v>
      </c>
      <c r="M419" s="10">
        <v>76.23</v>
      </c>
      <c r="N419" s="10">
        <f t="shared" si="85"/>
        <v>1488.42</v>
      </c>
    </row>
    <row r="420" spans="1:14" x14ac:dyDescent="0.2">
      <c r="A420" s="17" t="s">
        <v>286</v>
      </c>
      <c r="B420" s="10">
        <v>0</v>
      </c>
      <c r="C420" s="10">
        <v>0</v>
      </c>
      <c r="D420" s="10">
        <v>0</v>
      </c>
      <c r="E420" s="10">
        <v>195.58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f t="shared" si="85"/>
        <v>195.58</v>
      </c>
    </row>
    <row r="421" spans="1:14" x14ac:dyDescent="0.2">
      <c r="A421" s="17" t="s">
        <v>287</v>
      </c>
      <c r="B421" s="10">
        <v>0</v>
      </c>
      <c r="C421" s="10">
        <v>0</v>
      </c>
      <c r="D421" s="10">
        <v>0</v>
      </c>
      <c r="E421" s="10">
        <v>329.95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f t="shared" si="85"/>
        <v>329.95</v>
      </c>
    </row>
    <row r="422" spans="1:14" ht="4.95" customHeight="1" x14ac:dyDescent="0.2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1:14" ht="4.95" customHeight="1" x14ac:dyDescent="0.2"/>
    <row r="424" spans="1:14" x14ac:dyDescent="0.2">
      <c r="A424" s="16" t="s">
        <v>139</v>
      </c>
      <c r="B424" s="9">
        <f t="shared" ref="B424:N424" si="86">SUM(B411:B421)</f>
        <v>4702.1099999999997</v>
      </c>
      <c r="C424" s="9">
        <f t="shared" si="86"/>
        <v>3803.83</v>
      </c>
      <c r="D424" s="9">
        <f t="shared" si="86"/>
        <v>2156.0699999999997</v>
      </c>
      <c r="E424" s="9">
        <f t="shared" si="86"/>
        <v>1636.4299999999998</v>
      </c>
      <c r="F424" s="9">
        <f t="shared" si="86"/>
        <v>2738.03</v>
      </c>
      <c r="G424" s="9">
        <f t="shared" si="86"/>
        <v>2316.8900000000003</v>
      </c>
      <c r="H424" s="9">
        <f t="shared" si="86"/>
        <v>1765.63</v>
      </c>
      <c r="I424" s="9">
        <f t="shared" si="86"/>
        <v>1294.71</v>
      </c>
      <c r="J424" s="9">
        <f t="shared" si="86"/>
        <v>2827.9100000000003</v>
      </c>
      <c r="K424" s="9">
        <f t="shared" si="86"/>
        <v>1665.4099999999999</v>
      </c>
      <c r="L424" s="9">
        <f t="shared" si="86"/>
        <v>3327.29</v>
      </c>
      <c r="M424" s="9">
        <f t="shared" si="86"/>
        <v>1527.1999999999998</v>
      </c>
      <c r="N424" s="9">
        <f t="shared" si="86"/>
        <v>29761.51</v>
      </c>
    </row>
    <row r="425" spans="1:14" ht="4.95" customHeight="1" x14ac:dyDescent="0.2"/>
    <row r="426" spans="1:14" ht="4.95" customHeight="1" x14ac:dyDescent="0.2"/>
    <row r="427" spans="1:14" x14ac:dyDescent="0.2">
      <c r="A427" s="16" t="s">
        <v>288</v>
      </c>
      <c r="B427" s="9">
        <f t="shared" ref="B427:N427" si="87">B375+B408+B424</f>
        <v>67367.389999999985</v>
      </c>
      <c r="C427" s="9">
        <f t="shared" si="87"/>
        <v>66846.59</v>
      </c>
      <c r="D427" s="9">
        <f t="shared" si="87"/>
        <v>70398.260000000009</v>
      </c>
      <c r="E427" s="9">
        <f t="shared" si="87"/>
        <v>57610.01</v>
      </c>
      <c r="F427" s="9">
        <f t="shared" si="87"/>
        <v>57793.95</v>
      </c>
      <c r="G427" s="9">
        <f t="shared" si="87"/>
        <v>56350.9</v>
      </c>
      <c r="H427" s="9">
        <f t="shared" si="87"/>
        <v>63686.920000000006</v>
      </c>
      <c r="I427" s="9">
        <f t="shared" si="87"/>
        <v>63051.419999999991</v>
      </c>
      <c r="J427" s="9">
        <f t="shared" si="87"/>
        <v>62403.180000000008</v>
      </c>
      <c r="K427" s="9">
        <f t="shared" si="87"/>
        <v>63664.42</v>
      </c>
      <c r="L427" s="9">
        <f t="shared" si="87"/>
        <v>60364.680000000008</v>
      </c>
      <c r="M427" s="9">
        <f t="shared" si="87"/>
        <v>59040.59</v>
      </c>
      <c r="N427" s="9">
        <f t="shared" si="87"/>
        <v>748578.31000000017</v>
      </c>
    </row>
    <row r="428" spans="1:14" ht="4.95" customHeight="1" x14ac:dyDescent="0.2"/>
    <row r="429" spans="1:14" x14ac:dyDescent="0.2">
      <c r="A429" s="7" t="s">
        <v>289</v>
      </c>
      <c r="B429" s="9">
        <f t="shared" ref="B429:N429" si="88">B367-B427</f>
        <v>-37474.339999999982</v>
      </c>
      <c r="C429" s="9">
        <f t="shared" si="88"/>
        <v>-25770.059999999998</v>
      </c>
      <c r="D429" s="9">
        <f t="shared" si="88"/>
        <v>-33044.260000000009</v>
      </c>
      <c r="E429" s="9">
        <f t="shared" si="88"/>
        <v>-27765.140000000003</v>
      </c>
      <c r="F429" s="9">
        <f t="shared" si="88"/>
        <v>-24864.339999999997</v>
      </c>
      <c r="G429" s="9">
        <f t="shared" si="88"/>
        <v>-28681.240000000005</v>
      </c>
      <c r="H429" s="9">
        <f t="shared" si="88"/>
        <v>-36891.12000000001</v>
      </c>
      <c r="I429" s="9">
        <f t="shared" si="88"/>
        <v>-42245.359999999993</v>
      </c>
      <c r="J429" s="9">
        <f t="shared" si="88"/>
        <v>-33431.880000000005</v>
      </c>
      <c r="K429" s="9">
        <f t="shared" si="88"/>
        <v>-38295.35</v>
      </c>
      <c r="L429" s="9">
        <f t="shared" si="88"/>
        <v>-31679.260000000009</v>
      </c>
      <c r="M429" s="9">
        <f t="shared" si="88"/>
        <v>-35677.279999999999</v>
      </c>
      <c r="N429" s="9">
        <f t="shared" si="88"/>
        <v>-395819.63000000018</v>
      </c>
    </row>
    <row r="430" spans="1:14" ht="4.95" customHeight="1" x14ac:dyDescent="0.2"/>
    <row r="431" spans="1:14" x14ac:dyDescent="0.2">
      <c r="A431" s="16" t="s">
        <v>167</v>
      </c>
    </row>
    <row r="432" spans="1:14" x14ac:dyDescent="0.2">
      <c r="A432" s="16" t="s">
        <v>290</v>
      </c>
    </row>
    <row r="433" spans="1:14" x14ac:dyDescent="0.2">
      <c r="A433" s="17" t="s">
        <v>291</v>
      </c>
      <c r="B433" s="18">
        <v>96</v>
      </c>
      <c r="C433" s="18">
        <v>387</v>
      </c>
      <c r="D433" s="18">
        <v>744</v>
      </c>
      <c r="E433" s="18">
        <v>428</v>
      </c>
      <c r="F433" s="18">
        <v>452</v>
      </c>
      <c r="G433" s="18">
        <v>83</v>
      </c>
      <c r="H433" s="18">
        <v>80</v>
      </c>
      <c r="I433" s="18">
        <v>180</v>
      </c>
      <c r="J433" s="18">
        <v>2009</v>
      </c>
      <c r="K433" s="18">
        <v>1856</v>
      </c>
      <c r="L433" s="18">
        <v>2880</v>
      </c>
      <c r="M433" s="18">
        <v>248</v>
      </c>
      <c r="N433" s="18">
        <f t="shared" ref="N433:N440" si="89">B433+C433+D433+E433+F433+G433+H433+I433+J433+K433+L433+M433</f>
        <v>9443</v>
      </c>
    </row>
    <row r="434" spans="1:14" x14ac:dyDescent="0.2">
      <c r="A434" s="17" t="s">
        <v>292</v>
      </c>
      <c r="B434" s="10">
        <v>25.5</v>
      </c>
      <c r="C434" s="10">
        <v>26.08</v>
      </c>
      <c r="D434" s="10">
        <v>28.32</v>
      </c>
      <c r="E434" s="10">
        <v>66.349999999999994</v>
      </c>
      <c r="F434" s="10">
        <v>28</v>
      </c>
      <c r="G434" s="10">
        <v>58.42</v>
      </c>
      <c r="H434" s="10">
        <v>32</v>
      </c>
      <c r="I434" s="10">
        <v>36.61</v>
      </c>
      <c r="J434" s="10">
        <v>19.87</v>
      </c>
      <c r="K434" s="10">
        <v>12.94</v>
      </c>
      <c r="L434" s="10">
        <v>12.91</v>
      </c>
      <c r="M434" s="10">
        <v>1.65</v>
      </c>
      <c r="N434" s="10">
        <f t="shared" si="89"/>
        <v>348.65000000000003</v>
      </c>
    </row>
    <row r="435" spans="1:14" x14ac:dyDescent="0.2">
      <c r="A435" s="17" t="s">
        <v>293</v>
      </c>
      <c r="B435" s="18">
        <v>446</v>
      </c>
      <c r="C435" s="18">
        <v>488</v>
      </c>
      <c r="D435" s="18">
        <v>1450</v>
      </c>
      <c r="E435" s="18">
        <v>1833</v>
      </c>
      <c r="F435" s="18">
        <v>1944</v>
      </c>
      <c r="G435" s="18">
        <v>732</v>
      </c>
      <c r="H435" s="18">
        <v>172</v>
      </c>
      <c r="I435" s="18">
        <v>672</v>
      </c>
      <c r="J435" s="18">
        <v>1712</v>
      </c>
      <c r="K435" s="18">
        <v>1744</v>
      </c>
      <c r="L435" s="18">
        <v>2029</v>
      </c>
      <c r="M435" s="18">
        <v>1103</v>
      </c>
      <c r="N435" s="18">
        <f t="shared" si="89"/>
        <v>14325</v>
      </c>
    </row>
    <row r="436" spans="1:14" x14ac:dyDescent="0.2">
      <c r="A436" s="17" t="s">
        <v>294</v>
      </c>
      <c r="B436" s="10">
        <v>37.950000000000003</v>
      </c>
      <c r="C436" s="10">
        <v>29.47</v>
      </c>
      <c r="D436" s="10">
        <v>18.52</v>
      </c>
      <c r="E436" s="10">
        <v>17.670000000000002</v>
      </c>
      <c r="F436" s="10">
        <v>27.38</v>
      </c>
      <c r="G436" s="10">
        <v>25.09</v>
      </c>
      <c r="H436" s="10">
        <v>26.92</v>
      </c>
      <c r="I436" s="10">
        <v>9.73</v>
      </c>
      <c r="J436" s="10">
        <v>31.37</v>
      </c>
      <c r="K436" s="10">
        <v>22.79</v>
      </c>
      <c r="L436" s="10">
        <v>20.03</v>
      </c>
      <c r="M436" s="10">
        <v>12.4</v>
      </c>
      <c r="N436" s="10">
        <f t="shared" si="89"/>
        <v>279.31999999999994</v>
      </c>
    </row>
    <row r="437" spans="1:14" x14ac:dyDescent="0.2">
      <c r="A437" s="17" t="s">
        <v>295</v>
      </c>
      <c r="B437" s="18">
        <v>420</v>
      </c>
      <c r="C437" s="18">
        <v>768</v>
      </c>
      <c r="D437" s="18">
        <v>515</v>
      </c>
      <c r="E437" s="18">
        <v>467</v>
      </c>
      <c r="F437" s="18">
        <v>739</v>
      </c>
      <c r="G437" s="18">
        <v>145</v>
      </c>
      <c r="H437" s="18">
        <v>159</v>
      </c>
      <c r="I437" s="18">
        <v>277</v>
      </c>
      <c r="J437" s="18">
        <v>525</v>
      </c>
      <c r="K437" s="18">
        <v>308</v>
      </c>
      <c r="L437" s="18">
        <v>1431</v>
      </c>
      <c r="M437" s="18">
        <v>709</v>
      </c>
      <c r="N437" s="18">
        <f t="shared" si="89"/>
        <v>6463</v>
      </c>
    </row>
    <row r="438" spans="1:14" x14ac:dyDescent="0.2">
      <c r="A438" s="17" t="s">
        <v>296</v>
      </c>
      <c r="B438" s="10">
        <v>73.3</v>
      </c>
      <c r="C438" s="10">
        <v>54.06</v>
      </c>
      <c r="D438" s="10">
        <v>53.5</v>
      </c>
      <c r="E438" s="10">
        <v>30.89</v>
      </c>
      <c r="F438" s="10">
        <v>46.84</v>
      </c>
      <c r="G438" s="10">
        <v>45.97</v>
      </c>
      <c r="H438" s="10">
        <v>45.18</v>
      </c>
      <c r="I438" s="10">
        <v>70.69</v>
      </c>
      <c r="J438" s="10">
        <v>57.13</v>
      </c>
      <c r="K438" s="10">
        <v>67.069999999999993</v>
      </c>
      <c r="L438" s="10">
        <v>35.78</v>
      </c>
      <c r="M438" s="10">
        <v>45.56</v>
      </c>
      <c r="N438" s="10">
        <f t="shared" si="89"/>
        <v>625.97</v>
      </c>
    </row>
    <row r="439" spans="1:14" x14ac:dyDescent="0.2">
      <c r="A439" s="17" t="s">
        <v>297</v>
      </c>
      <c r="B439" s="18">
        <v>257</v>
      </c>
      <c r="C439" s="18">
        <v>615</v>
      </c>
      <c r="D439" s="18">
        <v>623</v>
      </c>
      <c r="E439" s="18">
        <v>881</v>
      </c>
      <c r="F439" s="18">
        <v>678</v>
      </c>
      <c r="G439" s="18">
        <v>862</v>
      </c>
      <c r="H439" s="18">
        <v>85</v>
      </c>
      <c r="I439" s="18">
        <v>260</v>
      </c>
      <c r="J439" s="18">
        <v>754</v>
      </c>
      <c r="K439" s="18">
        <v>1245</v>
      </c>
      <c r="L439" s="18">
        <v>1763</v>
      </c>
      <c r="M439" s="18">
        <v>218</v>
      </c>
      <c r="N439" s="18">
        <f t="shared" si="89"/>
        <v>8241</v>
      </c>
    </row>
    <row r="440" spans="1:14" x14ac:dyDescent="0.2">
      <c r="A440" s="17" t="s">
        <v>298</v>
      </c>
      <c r="B440" s="10">
        <v>32.97</v>
      </c>
      <c r="C440" s="10">
        <v>32.619999999999997</v>
      </c>
      <c r="D440" s="10">
        <v>46.46</v>
      </c>
      <c r="E440" s="10">
        <v>29.54</v>
      </c>
      <c r="F440" s="10">
        <v>44.74</v>
      </c>
      <c r="G440" s="10">
        <v>33.14</v>
      </c>
      <c r="H440" s="10">
        <v>52</v>
      </c>
      <c r="I440" s="10">
        <v>42.64</v>
      </c>
      <c r="J440" s="10">
        <v>47.07</v>
      </c>
      <c r="K440" s="10">
        <v>38.11</v>
      </c>
      <c r="L440" s="10">
        <v>36.840000000000003</v>
      </c>
      <c r="M440" s="10">
        <v>40.729999999999997</v>
      </c>
      <c r="N440" s="10">
        <f t="shared" si="89"/>
        <v>476.86</v>
      </c>
    </row>
    <row r="441" spans="1:14" ht="4.95" customHeight="1" x14ac:dyDescent="0.2"/>
    <row r="442" spans="1:14" ht="4.95" customHeight="1" x14ac:dyDescent="0.2"/>
    <row r="443" spans="1:14" ht="4.95" customHeight="1" x14ac:dyDescent="0.2"/>
    <row r="444" spans="1:14" x14ac:dyDescent="0.2">
      <c r="A444" s="16" t="s">
        <v>236</v>
      </c>
    </row>
    <row r="445" spans="1:14" x14ac:dyDescent="0.2">
      <c r="A445" s="16" t="s">
        <v>237</v>
      </c>
    </row>
    <row r="446" spans="1:14" x14ac:dyDescent="0.2">
      <c r="A446" s="17" t="s">
        <v>299</v>
      </c>
      <c r="B446" s="18">
        <v>1243</v>
      </c>
      <c r="C446" s="18">
        <v>1945</v>
      </c>
      <c r="D446" s="18">
        <v>1152</v>
      </c>
      <c r="E446" s="18">
        <v>964</v>
      </c>
      <c r="F446" s="18">
        <v>1212</v>
      </c>
      <c r="G446" s="18">
        <v>995</v>
      </c>
      <c r="H446" s="18">
        <v>833</v>
      </c>
      <c r="I446" s="18">
        <v>726</v>
      </c>
      <c r="J446" s="18">
        <v>1235</v>
      </c>
      <c r="K446" s="18">
        <v>1143</v>
      </c>
      <c r="L446" s="18">
        <v>1199</v>
      </c>
      <c r="M446" s="18">
        <v>891</v>
      </c>
      <c r="N446" s="18">
        <f>B446+C446+D446+E446+F446+G446+H446+I446+J446+K446+L446+M446</f>
        <v>13538</v>
      </c>
    </row>
    <row r="447" spans="1:14" x14ac:dyDescent="0.2">
      <c r="A447" s="17" t="s">
        <v>300</v>
      </c>
      <c r="B447" s="10">
        <v>19.52</v>
      </c>
      <c r="C447" s="10">
        <v>18.29</v>
      </c>
      <c r="D447" s="10">
        <v>25.73</v>
      </c>
      <c r="E447" s="10">
        <v>24.34</v>
      </c>
      <c r="F447" s="10">
        <v>21.94</v>
      </c>
      <c r="G447" s="10">
        <v>22.42</v>
      </c>
      <c r="H447" s="10">
        <v>25.24</v>
      </c>
      <c r="I447" s="10">
        <v>21.04</v>
      </c>
      <c r="J447" s="10">
        <v>19.68</v>
      </c>
      <c r="K447" s="10">
        <v>19.11</v>
      </c>
      <c r="L447" s="10">
        <v>20.11</v>
      </c>
      <c r="M447" s="10">
        <v>21.14</v>
      </c>
      <c r="N447" s="10">
        <f>B447+C447+D447+E447+F447+G447+H447+I447+J447+K447+L447+M447</f>
        <v>258.56</v>
      </c>
    </row>
    <row r="448" spans="1:14" x14ac:dyDescent="0.2">
      <c r="A448" s="17" t="s">
        <v>301</v>
      </c>
      <c r="B448" s="18">
        <v>168</v>
      </c>
      <c r="C448" s="18">
        <v>192</v>
      </c>
      <c r="D448" s="18">
        <v>205</v>
      </c>
      <c r="E448" s="18">
        <v>162</v>
      </c>
      <c r="F448" s="18">
        <v>184</v>
      </c>
      <c r="G448" s="18">
        <v>159</v>
      </c>
      <c r="H448" s="18">
        <v>171</v>
      </c>
      <c r="I448" s="18">
        <v>121</v>
      </c>
      <c r="J448" s="18">
        <v>112</v>
      </c>
      <c r="K448" s="18">
        <v>89</v>
      </c>
      <c r="L448" s="18">
        <v>162</v>
      </c>
      <c r="M448" s="18">
        <v>133</v>
      </c>
      <c r="N448" s="18">
        <f>B448+C448+D448+E448+F448+G448+H448+I448+J448+K448+L448+M448</f>
        <v>1858</v>
      </c>
    </row>
    <row r="449" spans="1:14" x14ac:dyDescent="0.2">
      <c r="A449" s="17" t="s">
        <v>302</v>
      </c>
      <c r="B449" s="10">
        <v>30.49</v>
      </c>
      <c r="C449" s="10">
        <v>27.87</v>
      </c>
      <c r="D449" s="10">
        <v>36.36</v>
      </c>
      <c r="E449" s="10">
        <v>38.200000000000003</v>
      </c>
      <c r="F449" s="10">
        <v>32.909999999999997</v>
      </c>
      <c r="G449" s="10">
        <v>33.1</v>
      </c>
      <c r="H449" s="10">
        <v>32.51</v>
      </c>
      <c r="I449" s="10">
        <v>44.12</v>
      </c>
      <c r="J449" s="10">
        <v>40.39</v>
      </c>
      <c r="K449" s="10">
        <v>37.340000000000003</v>
      </c>
      <c r="L449" s="10">
        <v>27.18</v>
      </c>
      <c r="M449" s="10">
        <v>32.729999999999997</v>
      </c>
      <c r="N449" s="10">
        <f>B449+C449+D449+E449+F449+G449+H449+I449+J449+K449+L449+M449</f>
        <v>413.2</v>
      </c>
    </row>
    <row r="450" spans="1:14" ht="4.95" customHeight="1" x14ac:dyDescent="0.2"/>
    <row r="451" spans="1:14" ht="4.95" customHeight="1" x14ac:dyDescent="0.2"/>
    <row r="452" spans="1:14" ht="4.95" customHeight="1" x14ac:dyDescent="0.2"/>
    <row r="453" spans="1:14" x14ac:dyDescent="0.2">
      <c r="A453" s="16" t="s">
        <v>303</v>
      </c>
    </row>
    <row r="455" spans="1:14" x14ac:dyDescent="0.2">
      <c r="A455" s="16" t="s">
        <v>304</v>
      </c>
    </row>
    <row r="456" spans="1:14" x14ac:dyDescent="0.2">
      <c r="A456" s="16" t="s">
        <v>75</v>
      </c>
    </row>
    <row r="457" spans="1:14" x14ac:dyDescent="0.2">
      <c r="A457" s="17" t="s">
        <v>305</v>
      </c>
      <c r="B457" s="10">
        <v>45360.37</v>
      </c>
      <c r="C457" s="10">
        <v>48790.63</v>
      </c>
      <c r="D457" s="10">
        <v>46556.74</v>
      </c>
      <c r="E457" s="10">
        <v>47708.76</v>
      </c>
      <c r="F457" s="10">
        <v>52140.19</v>
      </c>
      <c r="G457" s="10">
        <v>44426.13</v>
      </c>
      <c r="H457" s="10">
        <v>43091.97</v>
      </c>
      <c r="I457" s="10">
        <v>43664.86</v>
      </c>
      <c r="J457" s="10">
        <v>38598.14</v>
      </c>
      <c r="K457" s="10">
        <v>42752.800000000003</v>
      </c>
      <c r="L457" s="10">
        <v>43576.58</v>
      </c>
      <c r="M457" s="10">
        <v>36089.49</v>
      </c>
      <c r="N457" s="10">
        <f>B457+C457+D457+E457+F457+G457+H457+I457+J457+K457+L457+M457</f>
        <v>532756.66</v>
      </c>
    </row>
    <row r="458" spans="1:14" x14ac:dyDescent="0.2">
      <c r="A458" s="17" t="s">
        <v>306</v>
      </c>
      <c r="B458" s="10">
        <v>-526.82000000000005</v>
      </c>
      <c r="C458" s="10">
        <v>-803.17</v>
      </c>
      <c r="D458" s="10">
        <v>-1146.6300000000001</v>
      </c>
      <c r="E458" s="10">
        <v>-1138.6199999999999</v>
      </c>
      <c r="F458" s="10">
        <v>-1222.07</v>
      </c>
      <c r="G458" s="10">
        <v>0</v>
      </c>
      <c r="H458" s="10">
        <v>0</v>
      </c>
      <c r="I458" s="10">
        <v>0</v>
      </c>
      <c r="J458" s="10">
        <v>-133.19999999999999</v>
      </c>
      <c r="K458" s="10">
        <v>-221.78</v>
      </c>
      <c r="L458" s="10">
        <v>-378.52</v>
      </c>
      <c r="M458" s="10">
        <v>-239</v>
      </c>
      <c r="N458" s="10">
        <f>B458+C458+D458+E458+F458+G458+H458+I458+J458+K458+L458+M458</f>
        <v>-5809.8099999999995</v>
      </c>
    </row>
    <row r="459" spans="1:14" ht="4.95" customHeight="1" x14ac:dyDescent="0.2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1:14" ht="4.95" customHeight="1" x14ac:dyDescent="0.2"/>
    <row r="461" spans="1:14" x14ac:dyDescent="0.2">
      <c r="A461" s="16" t="s">
        <v>81</v>
      </c>
      <c r="B461" s="9">
        <f t="shared" ref="B461:N461" si="90">SUM(B457:B458)</f>
        <v>44833.55</v>
      </c>
      <c r="C461" s="9">
        <f t="shared" si="90"/>
        <v>47987.46</v>
      </c>
      <c r="D461" s="9">
        <f t="shared" si="90"/>
        <v>45410.11</v>
      </c>
      <c r="E461" s="9">
        <f t="shared" si="90"/>
        <v>46570.14</v>
      </c>
      <c r="F461" s="9">
        <f t="shared" si="90"/>
        <v>50918.12</v>
      </c>
      <c r="G461" s="9">
        <f t="shared" si="90"/>
        <v>44426.13</v>
      </c>
      <c r="H461" s="9">
        <f t="shared" si="90"/>
        <v>43091.97</v>
      </c>
      <c r="I461" s="9">
        <f t="shared" si="90"/>
        <v>43664.86</v>
      </c>
      <c r="J461" s="9">
        <f t="shared" si="90"/>
        <v>38464.94</v>
      </c>
      <c r="K461" s="9">
        <f t="shared" si="90"/>
        <v>42531.020000000004</v>
      </c>
      <c r="L461" s="9">
        <f t="shared" si="90"/>
        <v>43198.060000000005</v>
      </c>
      <c r="M461" s="9">
        <f t="shared" si="90"/>
        <v>35850.49</v>
      </c>
      <c r="N461" s="9">
        <f t="shared" si="90"/>
        <v>526946.85</v>
      </c>
    </row>
    <row r="462" spans="1:14" ht="4.95" customHeight="1" x14ac:dyDescent="0.2"/>
    <row r="463" spans="1:14" ht="4.95" customHeight="1" x14ac:dyDescent="0.2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1:14" ht="4.95" customHeight="1" x14ac:dyDescent="0.2"/>
    <row r="465" spans="1:14" x14ac:dyDescent="0.2">
      <c r="A465" s="16" t="s">
        <v>307</v>
      </c>
      <c r="B465" s="9">
        <f t="shared" ref="B465:N465" si="91">B461</f>
        <v>44833.55</v>
      </c>
      <c r="C465" s="9">
        <f t="shared" si="91"/>
        <v>47987.46</v>
      </c>
      <c r="D465" s="9">
        <f t="shared" si="91"/>
        <v>45410.11</v>
      </c>
      <c r="E465" s="9">
        <f t="shared" si="91"/>
        <v>46570.14</v>
      </c>
      <c r="F465" s="9">
        <f t="shared" si="91"/>
        <v>50918.12</v>
      </c>
      <c r="G465" s="9">
        <f t="shared" si="91"/>
        <v>44426.13</v>
      </c>
      <c r="H465" s="9">
        <f t="shared" si="91"/>
        <v>43091.97</v>
      </c>
      <c r="I465" s="9">
        <f t="shared" si="91"/>
        <v>43664.86</v>
      </c>
      <c r="J465" s="9">
        <f t="shared" si="91"/>
        <v>38464.94</v>
      </c>
      <c r="K465" s="9">
        <f t="shared" si="91"/>
        <v>42531.020000000004</v>
      </c>
      <c r="L465" s="9">
        <f t="shared" si="91"/>
        <v>43198.060000000005</v>
      </c>
      <c r="M465" s="9">
        <f t="shared" si="91"/>
        <v>35850.49</v>
      </c>
      <c r="N465" s="9">
        <f t="shared" si="91"/>
        <v>526946.85</v>
      </c>
    </row>
    <row r="467" spans="1:14" x14ac:dyDescent="0.2">
      <c r="A467" s="16" t="s">
        <v>308</v>
      </c>
    </row>
    <row r="468" spans="1:14" x14ac:dyDescent="0.2">
      <c r="A468" s="17" t="s">
        <v>309</v>
      </c>
      <c r="B468" s="10">
        <v>20440.96</v>
      </c>
      <c r="C468" s="10">
        <v>15326.33</v>
      </c>
      <c r="D468" s="10">
        <v>13192.94</v>
      </c>
      <c r="E468" s="10">
        <v>16798.22</v>
      </c>
      <c r="F468" s="10">
        <v>13485.97</v>
      </c>
      <c r="G468" s="10">
        <v>14993.56</v>
      </c>
      <c r="H468" s="10">
        <v>20542.89</v>
      </c>
      <c r="I468" s="10">
        <v>14712.04</v>
      </c>
      <c r="J468" s="10">
        <v>12500.76</v>
      </c>
      <c r="K468" s="10">
        <v>13385.95</v>
      </c>
      <c r="L468" s="10">
        <v>13896.09</v>
      </c>
      <c r="M468" s="10">
        <v>12153.32</v>
      </c>
      <c r="N468" s="10">
        <f>B468+C468+D468+E468+F468+G468+H468+I468+J468+K468+L468+M468</f>
        <v>181429.03000000003</v>
      </c>
    </row>
    <row r="469" spans="1:14" ht="4.95" customHeight="1" x14ac:dyDescent="0.2"/>
    <row r="470" spans="1:14" ht="4.95" customHeight="1" x14ac:dyDescent="0.2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1:14" ht="4.95" customHeight="1" x14ac:dyDescent="0.2"/>
    <row r="472" spans="1:14" x14ac:dyDescent="0.2">
      <c r="A472" s="16" t="s">
        <v>310</v>
      </c>
      <c r="B472" s="9">
        <f t="shared" ref="B472:N472" si="92">B468</f>
        <v>20440.96</v>
      </c>
      <c r="C472" s="9">
        <f t="shared" si="92"/>
        <v>15326.33</v>
      </c>
      <c r="D472" s="9">
        <f t="shared" si="92"/>
        <v>13192.94</v>
      </c>
      <c r="E472" s="9">
        <f t="shared" si="92"/>
        <v>16798.22</v>
      </c>
      <c r="F472" s="9">
        <f t="shared" si="92"/>
        <v>13485.97</v>
      </c>
      <c r="G472" s="9">
        <f t="shared" si="92"/>
        <v>14993.56</v>
      </c>
      <c r="H472" s="9">
        <f t="shared" si="92"/>
        <v>20542.89</v>
      </c>
      <c r="I472" s="9">
        <f t="shared" si="92"/>
        <v>14712.04</v>
      </c>
      <c r="J472" s="9">
        <f t="shared" si="92"/>
        <v>12500.76</v>
      </c>
      <c r="K472" s="9">
        <f t="shared" si="92"/>
        <v>13385.95</v>
      </c>
      <c r="L472" s="9">
        <f t="shared" si="92"/>
        <v>13896.09</v>
      </c>
      <c r="M472" s="9">
        <f t="shared" si="92"/>
        <v>12153.32</v>
      </c>
      <c r="N472" s="9">
        <f t="shared" si="92"/>
        <v>181429.03000000003</v>
      </c>
    </row>
    <row r="473" spans="1:14" ht="4.95" customHeight="1" x14ac:dyDescent="0.2"/>
    <row r="474" spans="1:14" x14ac:dyDescent="0.2">
      <c r="A474" s="16" t="s">
        <v>194</v>
      </c>
      <c r="B474" s="9">
        <f t="shared" ref="B474:N474" si="93">(B465)-(B472)</f>
        <v>24392.590000000004</v>
      </c>
      <c r="C474" s="9">
        <f t="shared" si="93"/>
        <v>32661.129999999997</v>
      </c>
      <c r="D474" s="9">
        <f t="shared" si="93"/>
        <v>32217.17</v>
      </c>
      <c r="E474" s="9">
        <f t="shared" si="93"/>
        <v>29771.919999999998</v>
      </c>
      <c r="F474" s="9">
        <f t="shared" si="93"/>
        <v>37432.15</v>
      </c>
      <c r="G474" s="9">
        <f t="shared" si="93"/>
        <v>29432.57</v>
      </c>
      <c r="H474" s="9">
        <f t="shared" si="93"/>
        <v>22549.08</v>
      </c>
      <c r="I474" s="9">
        <f t="shared" si="93"/>
        <v>28952.82</v>
      </c>
      <c r="J474" s="9">
        <f t="shared" si="93"/>
        <v>25964.18</v>
      </c>
      <c r="K474" s="9">
        <f t="shared" si="93"/>
        <v>29145.070000000003</v>
      </c>
      <c r="L474" s="9">
        <f t="shared" si="93"/>
        <v>29301.970000000005</v>
      </c>
      <c r="M474" s="9">
        <f t="shared" si="93"/>
        <v>23697.17</v>
      </c>
      <c r="N474" s="9">
        <f t="shared" si="93"/>
        <v>345517.81999999995</v>
      </c>
    </row>
    <row r="476" spans="1:14" x14ac:dyDescent="0.2">
      <c r="A476" s="16" t="s">
        <v>311</v>
      </c>
    </row>
    <row r="478" spans="1:14" x14ac:dyDescent="0.2">
      <c r="A478" s="16" t="s">
        <v>312</v>
      </c>
    </row>
    <row r="479" spans="1:14" x14ac:dyDescent="0.2">
      <c r="A479" s="16" t="s">
        <v>313</v>
      </c>
    </row>
    <row r="480" spans="1:14" x14ac:dyDescent="0.2">
      <c r="A480" s="17" t="s">
        <v>314</v>
      </c>
      <c r="B480" s="10">
        <v>3846.4</v>
      </c>
      <c r="C480" s="10">
        <v>3269.44</v>
      </c>
      <c r="D480" s="10">
        <v>3929.6</v>
      </c>
      <c r="E480" s="10">
        <v>4213.4399999999996</v>
      </c>
      <c r="F480" s="10">
        <v>4414.08</v>
      </c>
      <c r="G480" s="10">
        <v>2608.3200000000002</v>
      </c>
      <c r="H480" s="10">
        <v>1003.2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f>B480+C480+D480+E480+F480+G480+H480+I480+J480+K480+L480+M480</f>
        <v>23284.48</v>
      </c>
    </row>
    <row r="481" spans="1:14" x14ac:dyDescent="0.2">
      <c r="A481" s="16" t="s">
        <v>315</v>
      </c>
      <c r="B481" s="9">
        <f t="shared" ref="B481:N481" si="94">B480</f>
        <v>3846.4</v>
      </c>
      <c r="C481" s="9">
        <f t="shared" si="94"/>
        <v>3269.44</v>
      </c>
      <c r="D481" s="9">
        <f t="shared" si="94"/>
        <v>3929.6</v>
      </c>
      <c r="E481" s="9">
        <f t="shared" si="94"/>
        <v>4213.4399999999996</v>
      </c>
      <c r="F481" s="9">
        <f t="shared" si="94"/>
        <v>4414.08</v>
      </c>
      <c r="G481" s="9">
        <f t="shared" si="94"/>
        <v>2608.3200000000002</v>
      </c>
      <c r="H481" s="9">
        <f t="shared" si="94"/>
        <v>1003.2</v>
      </c>
      <c r="I481" s="9">
        <f t="shared" si="94"/>
        <v>0</v>
      </c>
      <c r="J481" s="9">
        <f t="shared" si="94"/>
        <v>0</v>
      </c>
      <c r="K481" s="9">
        <f t="shared" si="94"/>
        <v>0</v>
      </c>
      <c r="L481" s="9">
        <f t="shared" si="94"/>
        <v>0</v>
      </c>
      <c r="M481" s="9">
        <f t="shared" si="94"/>
        <v>0</v>
      </c>
      <c r="N481" s="9">
        <f t="shared" si="94"/>
        <v>23284.48</v>
      </c>
    </row>
    <row r="483" spans="1:14" x14ac:dyDescent="0.2">
      <c r="A483" s="16" t="s">
        <v>316</v>
      </c>
    </row>
    <row r="484" spans="1:14" x14ac:dyDescent="0.2">
      <c r="A484" s="17" t="s">
        <v>317</v>
      </c>
      <c r="B484" s="10">
        <v>8167.21</v>
      </c>
      <c r="C484" s="10">
        <v>8931.2800000000007</v>
      </c>
      <c r="D484" s="10">
        <v>8482.36</v>
      </c>
      <c r="E484" s="10">
        <v>8969.16</v>
      </c>
      <c r="F484" s="10">
        <v>9325.1299999999992</v>
      </c>
      <c r="G484" s="10">
        <v>8558.66</v>
      </c>
      <c r="H484" s="10">
        <v>9426.9699999999993</v>
      </c>
      <c r="I484" s="10">
        <v>9237.19</v>
      </c>
      <c r="J484" s="10">
        <v>7759.52</v>
      </c>
      <c r="K484" s="10">
        <v>8038.81</v>
      </c>
      <c r="L484" s="10">
        <v>9503.6</v>
      </c>
      <c r="M484" s="10">
        <v>8035.06</v>
      </c>
      <c r="N484" s="10">
        <f>B484+C484+D484+E484+F484+G484+H484+I484+J484+K484+L484+M484</f>
        <v>104434.95000000001</v>
      </c>
    </row>
    <row r="485" spans="1:14" x14ac:dyDescent="0.2">
      <c r="A485" s="16" t="s">
        <v>318</v>
      </c>
      <c r="B485" s="9">
        <f t="shared" ref="B485:N485" si="95">B484</f>
        <v>8167.21</v>
      </c>
      <c r="C485" s="9">
        <f t="shared" si="95"/>
        <v>8931.2800000000007</v>
      </c>
      <c r="D485" s="9">
        <f t="shared" si="95"/>
        <v>8482.36</v>
      </c>
      <c r="E485" s="9">
        <f t="shared" si="95"/>
        <v>8969.16</v>
      </c>
      <c r="F485" s="9">
        <f t="shared" si="95"/>
        <v>9325.1299999999992</v>
      </c>
      <c r="G485" s="9">
        <f t="shared" si="95"/>
        <v>8558.66</v>
      </c>
      <c r="H485" s="9">
        <f t="shared" si="95"/>
        <v>9426.9699999999993</v>
      </c>
      <c r="I485" s="9">
        <f t="shared" si="95"/>
        <v>9237.19</v>
      </c>
      <c r="J485" s="9">
        <f t="shared" si="95"/>
        <v>7759.52</v>
      </c>
      <c r="K485" s="9">
        <f t="shared" si="95"/>
        <v>8038.81</v>
      </c>
      <c r="L485" s="9">
        <f t="shared" si="95"/>
        <v>9503.6</v>
      </c>
      <c r="M485" s="9">
        <f t="shared" si="95"/>
        <v>8035.06</v>
      </c>
      <c r="N485" s="9">
        <f t="shared" si="95"/>
        <v>104434.95000000001</v>
      </c>
    </row>
    <row r="486" spans="1:14" x14ac:dyDescent="0.2">
      <c r="A486" s="16" t="s">
        <v>319</v>
      </c>
      <c r="B486" s="9">
        <f t="shared" ref="B486:N486" si="96">B481+B485</f>
        <v>12013.61</v>
      </c>
      <c r="C486" s="9">
        <f t="shared" si="96"/>
        <v>12200.720000000001</v>
      </c>
      <c r="D486" s="9">
        <f t="shared" si="96"/>
        <v>12411.960000000001</v>
      </c>
      <c r="E486" s="9">
        <f t="shared" si="96"/>
        <v>13182.599999999999</v>
      </c>
      <c r="F486" s="9">
        <f t="shared" si="96"/>
        <v>13739.21</v>
      </c>
      <c r="G486" s="9">
        <f t="shared" si="96"/>
        <v>11166.98</v>
      </c>
      <c r="H486" s="9">
        <f t="shared" si="96"/>
        <v>10430.17</v>
      </c>
      <c r="I486" s="9">
        <f t="shared" si="96"/>
        <v>9237.19</v>
      </c>
      <c r="J486" s="9">
        <f t="shared" si="96"/>
        <v>7759.52</v>
      </c>
      <c r="K486" s="9">
        <f t="shared" si="96"/>
        <v>8038.81</v>
      </c>
      <c r="L486" s="9">
        <f t="shared" si="96"/>
        <v>9503.6</v>
      </c>
      <c r="M486" s="9">
        <f t="shared" si="96"/>
        <v>8035.06</v>
      </c>
      <c r="N486" s="9">
        <f t="shared" si="96"/>
        <v>127719.43000000001</v>
      </c>
    </row>
    <row r="488" spans="1:14" x14ac:dyDescent="0.2">
      <c r="A488" s="16" t="s">
        <v>320</v>
      </c>
    </row>
    <row r="489" spans="1:14" x14ac:dyDescent="0.2">
      <c r="A489" s="17" t="s">
        <v>321</v>
      </c>
      <c r="B489" s="10">
        <v>909.76</v>
      </c>
      <c r="C489" s="10">
        <v>1040.75</v>
      </c>
      <c r="D489" s="10">
        <v>1592.4</v>
      </c>
      <c r="E489" s="10">
        <v>499.22</v>
      </c>
      <c r="F489" s="10">
        <v>1024.17</v>
      </c>
      <c r="G489" s="10">
        <v>895.24</v>
      </c>
      <c r="H489" s="10">
        <v>602.42999999999995</v>
      </c>
      <c r="I489" s="10">
        <v>934.3</v>
      </c>
      <c r="J489" s="10">
        <v>618.41</v>
      </c>
      <c r="K489" s="10">
        <v>563.55999999999995</v>
      </c>
      <c r="L489" s="10">
        <v>686.7</v>
      </c>
      <c r="M489" s="10">
        <v>589.16</v>
      </c>
      <c r="N489" s="10">
        <f t="shared" ref="N489:N494" si="97">B489+C489+D489+E489+F489+G489+H489+I489+J489+K489+L489+M489</f>
        <v>9956.1</v>
      </c>
    </row>
    <row r="490" spans="1:14" x14ac:dyDescent="0.2">
      <c r="A490" s="17" t="s">
        <v>322</v>
      </c>
      <c r="B490" s="10">
        <v>68.56</v>
      </c>
      <c r="C490" s="10">
        <v>64.06</v>
      </c>
      <c r="D490" s="10">
        <v>62.29</v>
      </c>
      <c r="E490" s="10">
        <v>69.58</v>
      </c>
      <c r="F490" s="10">
        <v>70.89</v>
      </c>
      <c r="G490" s="10">
        <v>64.27</v>
      </c>
      <c r="H490" s="10">
        <v>55.27</v>
      </c>
      <c r="I490" s="10">
        <v>47.07</v>
      </c>
      <c r="J490" s="10">
        <v>40.130000000000003</v>
      </c>
      <c r="K490" s="10">
        <v>38.659999999999997</v>
      </c>
      <c r="L490" s="10">
        <v>44.61</v>
      </c>
      <c r="M490" s="10">
        <v>44.76</v>
      </c>
      <c r="N490" s="10">
        <f t="shared" si="97"/>
        <v>670.15</v>
      </c>
    </row>
    <row r="491" spans="1:14" x14ac:dyDescent="0.2">
      <c r="A491" s="17" t="s">
        <v>323</v>
      </c>
      <c r="B491" s="10">
        <v>269.89999999999998</v>
      </c>
      <c r="C491" s="10">
        <v>250.2</v>
      </c>
      <c r="D491" s="10">
        <v>183.17</v>
      </c>
      <c r="E491" s="10">
        <v>304.3</v>
      </c>
      <c r="F491" s="10">
        <v>241.3</v>
      </c>
      <c r="G491" s="10">
        <v>199.24</v>
      </c>
      <c r="H491" s="10">
        <v>155</v>
      </c>
      <c r="I491" s="10">
        <v>167.2</v>
      </c>
      <c r="J491" s="10">
        <v>179.1</v>
      </c>
      <c r="K491" s="10">
        <v>142.01</v>
      </c>
      <c r="L491" s="10">
        <v>167.23</v>
      </c>
      <c r="M491" s="10">
        <v>197.58</v>
      </c>
      <c r="N491" s="10">
        <f t="shared" si="97"/>
        <v>2456.23</v>
      </c>
    </row>
    <row r="492" spans="1:14" x14ac:dyDescent="0.2">
      <c r="A492" s="17" t="s">
        <v>324</v>
      </c>
      <c r="B492" s="10">
        <v>336</v>
      </c>
      <c r="C492" s="10">
        <v>112</v>
      </c>
      <c r="D492" s="10">
        <v>1087.8399999999999</v>
      </c>
      <c r="E492" s="10">
        <v>326.76</v>
      </c>
      <c r="F492" s="10">
        <v>218.88</v>
      </c>
      <c r="G492" s="10">
        <v>314.64</v>
      </c>
      <c r="H492" s="10">
        <v>218.88</v>
      </c>
      <c r="I492" s="10">
        <v>0</v>
      </c>
      <c r="J492" s="10">
        <v>0</v>
      </c>
      <c r="K492" s="10">
        <v>669.84</v>
      </c>
      <c r="L492" s="10">
        <v>0</v>
      </c>
      <c r="M492" s="10">
        <v>0</v>
      </c>
      <c r="N492" s="10">
        <f t="shared" si="97"/>
        <v>3284.84</v>
      </c>
    </row>
    <row r="493" spans="1:14" x14ac:dyDescent="0.2">
      <c r="A493" s="17" t="s">
        <v>325</v>
      </c>
      <c r="B493" s="10">
        <v>215.68</v>
      </c>
      <c r="C493" s="10">
        <v>384.64</v>
      </c>
      <c r="D493" s="10">
        <v>584.16</v>
      </c>
      <c r="E493" s="10">
        <v>760.8</v>
      </c>
      <c r="F493" s="10">
        <v>0</v>
      </c>
      <c r="G493" s="10">
        <v>200.64</v>
      </c>
      <c r="H493" s="10">
        <v>0</v>
      </c>
      <c r="I493" s="10">
        <v>0</v>
      </c>
      <c r="J493" s="10">
        <v>328.32</v>
      </c>
      <c r="K493" s="10">
        <v>0</v>
      </c>
      <c r="L493" s="10">
        <v>0</v>
      </c>
      <c r="M493" s="10">
        <v>0</v>
      </c>
      <c r="N493" s="10">
        <f t="shared" si="97"/>
        <v>2474.2400000000002</v>
      </c>
    </row>
    <row r="494" spans="1:14" x14ac:dyDescent="0.2">
      <c r="A494" s="17" t="s">
        <v>326</v>
      </c>
      <c r="B494" s="10">
        <v>938.74</v>
      </c>
      <c r="C494" s="10">
        <v>0</v>
      </c>
      <c r="D494" s="10">
        <v>0</v>
      </c>
      <c r="E494" s="10">
        <v>0</v>
      </c>
      <c r="F494" s="10">
        <v>0</v>
      </c>
      <c r="G494" s="10">
        <v>938.12</v>
      </c>
      <c r="H494" s="10">
        <v>269.41000000000003</v>
      </c>
      <c r="I494" s="10">
        <v>0</v>
      </c>
      <c r="J494" s="10">
        <v>189.02</v>
      </c>
      <c r="K494" s="10">
        <v>0</v>
      </c>
      <c r="L494" s="10">
        <v>0</v>
      </c>
      <c r="M494" s="10">
        <v>193.87</v>
      </c>
      <c r="N494" s="10">
        <f t="shared" si="97"/>
        <v>2529.16</v>
      </c>
    </row>
    <row r="495" spans="1:14" x14ac:dyDescent="0.2">
      <c r="A495" s="16" t="s">
        <v>327</v>
      </c>
      <c r="B495" s="9">
        <f t="shared" ref="B495:N495" si="98">SUM(B489:B494)</f>
        <v>2738.64</v>
      </c>
      <c r="C495" s="9">
        <f t="shared" si="98"/>
        <v>1851.65</v>
      </c>
      <c r="D495" s="9">
        <f t="shared" si="98"/>
        <v>3509.8599999999997</v>
      </c>
      <c r="E495" s="9">
        <f t="shared" si="98"/>
        <v>1960.66</v>
      </c>
      <c r="F495" s="9">
        <f t="shared" si="98"/>
        <v>1555.2400000000002</v>
      </c>
      <c r="G495" s="9">
        <f t="shared" si="98"/>
        <v>2612.1499999999996</v>
      </c>
      <c r="H495" s="9">
        <f t="shared" si="98"/>
        <v>1300.99</v>
      </c>
      <c r="I495" s="9">
        <f t="shared" si="98"/>
        <v>1148.57</v>
      </c>
      <c r="J495" s="9">
        <f t="shared" si="98"/>
        <v>1354.98</v>
      </c>
      <c r="K495" s="9">
        <f t="shared" si="98"/>
        <v>1414.07</v>
      </c>
      <c r="L495" s="9">
        <f t="shared" si="98"/>
        <v>898.54000000000008</v>
      </c>
      <c r="M495" s="9">
        <f t="shared" si="98"/>
        <v>1025.3699999999999</v>
      </c>
      <c r="N495" s="9">
        <f t="shared" si="98"/>
        <v>21370.720000000001</v>
      </c>
    </row>
    <row r="496" spans="1:14" ht="4.95" customHeight="1" x14ac:dyDescent="0.2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1:14" ht="4.95" customHeight="1" x14ac:dyDescent="0.2"/>
    <row r="498" spans="1:14" x14ac:dyDescent="0.2">
      <c r="A498" s="16" t="s">
        <v>328</v>
      </c>
      <c r="B498" s="9">
        <f t="shared" ref="B498:N498" si="99">B486+B495</f>
        <v>14752.25</v>
      </c>
      <c r="C498" s="9">
        <f t="shared" si="99"/>
        <v>14052.37</v>
      </c>
      <c r="D498" s="9">
        <f t="shared" si="99"/>
        <v>15921.82</v>
      </c>
      <c r="E498" s="9">
        <f t="shared" si="99"/>
        <v>15143.259999999998</v>
      </c>
      <c r="F498" s="9">
        <f t="shared" si="99"/>
        <v>15294.449999999999</v>
      </c>
      <c r="G498" s="9">
        <f t="shared" si="99"/>
        <v>13779.13</v>
      </c>
      <c r="H498" s="9">
        <f t="shared" si="99"/>
        <v>11731.16</v>
      </c>
      <c r="I498" s="9">
        <f t="shared" si="99"/>
        <v>10385.76</v>
      </c>
      <c r="J498" s="9">
        <f t="shared" si="99"/>
        <v>9114.5</v>
      </c>
      <c r="K498" s="9">
        <f t="shared" si="99"/>
        <v>9452.880000000001</v>
      </c>
      <c r="L498" s="9">
        <f t="shared" si="99"/>
        <v>10402.140000000001</v>
      </c>
      <c r="M498" s="9">
        <f t="shared" si="99"/>
        <v>9060.43</v>
      </c>
      <c r="N498" s="9">
        <f t="shared" si="99"/>
        <v>149090.15000000002</v>
      </c>
    </row>
    <row r="499" spans="1:14" ht="4.95" customHeight="1" x14ac:dyDescent="0.2"/>
    <row r="500" spans="1:14" x14ac:dyDescent="0.2">
      <c r="A500" s="16" t="s">
        <v>114</v>
      </c>
    </row>
    <row r="501" spans="1:14" x14ac:dyDescent="0.2">
      <c r="A501" s="17" t="s">
        <v>329</v>
      </c>
      <c r="B501" s="10">
        <v>8.75</v>
      </c>
      <c r="C501" s="10">
        <v>102.53</v>
      </c>
      <c r="D501" s="10">
        <v>53.58</v>
      </c>
      <c r="E501" s="10">
        <v>167.23</v>
      </c>
      <c r="F501" s="10">
        <v>325.2</v>
      </c>
      <c r="G501" s="10">
        <v>26.42</v>
      </c>
      <c r="H501" s="10">
        <v>139.62</v>
      </c>
      <c r="I501" s="10">
        <v>12.12</v>
      </c>
      <c r="J501" s="10">
        <v>82.05</v>
      </c>
      <c r="K501" s="10">
        <v>32.57</v>
      </c>
      <c r="L501" s="10">
        <v>39.729999999999997</v>
      </c>
      <c r="M501" s="10">
        <v>105.75</v>
      </c>
      <c r="N501" s="10">
        <f t="shared" ref="N501:N508" si="100">B501+C501+D501+E501+F501+G501+H501+I501+J501+K501+L501+M501</f>
        <v>1095.55</v>
      </c>
    </row>
    <row r="502" spans="1:14" x14ac:dyDescent="0.2">
      <c r="A502" s="17" t="s">
        <v>330</v>
      </c>
      <c r="B502" s="10">
        <v>110</v>
      </c>
      <c r="C502" s="10">
        <v>0</v>
      </c>
      <c r="D502" s="10">
        <v>13.02</v>
      </c>
      <c r="E502" s="10">
        <v>113.45</v>
      </c>
      <c r="F502" s="10">
        <v>94.74</v>
      </c>
      <c r="G502" s="10">
        <v>108.57</v>
      </c>
      <c r="H502" s="10">
        <v>22.46</v>
      </c>
      <c r="I502" s="10">
        <v>107.49</v>
      </c>
      <c r="J502" s="10">
        <v>0</v>
      </c>
      <c r="K502" s="10">
        <v>0</v>
      </c>
      <c r="L502" s="10">
        <v>206.74</v>
      </c>
      <c r="M502" s="10">
        <v>17.97</v>
      </c>
      <c r="N502" s="10">
        <f t="shared" si="100"/>
        <v>794.43999999999994</v>
      </c>
    </row>
    <row r="503" spans="1:14" x14ac:dyDescent="0.2">
      <c r="A503" s="17" t="s">
        <v>331</v>
      </c>
      <c r="B503" s="10">
        <v>243.9</v>
      </c>
      <c r="C503" s="10">
        <v>243.9</v>
      </c>
      <c r="D503" s="10">
        <v>243.9</v>
      </c>
      <c r="E503" s="10">
        <v>243.9</v>
      </c>
      <c r="F503" s="10">
        <v>243.9</v>
      </c>
      <c r="G503" s="10">
        <v>243.9</v>
      </c>
      <c r="H503" s="10">
        <v>243.9</v>
      </c>
      <c r="I503" s="10">
        <v>243.9</v>
      </c>
      <c r="J503" s="10">
        <v>243.9</v>
      </c>
      <c r="K503" s="10">
        <v>243.9</v>
      </c>
      <c r="L503" s="10">
        <v>243.9</v>
      </c>
      <c r="M503" s="10">
        <v>243.9</v>
      </c>
      <c r="N503" s="10">
        <f t="shared" si="100"/>
        <v>2926.8000000000006</v>
      </c>
    </row>
    <row r="504" spans="1:14" x14ac:dyDescent="0.2">
      <c r="A504" s="17" t="s">
        <v>332</v>
      </c>
      <c r="B504" s="10">
        <v>0</v>
      </c>
      <c r="C504" s="10">
        <v>1707.36</v>
      </c>
      <c r="D504" s="10">
        <v>4111.9799999999996</v>
      </c>
      <c r="E504" s="10">
        <v>1964.94</v>
      </c>
      <c r="F504" s="10">
        <v>0</v>
      </c>
      <c r="G504" s="10">
        <v>229.36</v>
      </c>
      <c r="H504" s="10">
        <v>0</v>
      </c>
      <c r="I504" s="10">
        <v>0</v>
      </c>
      <c r="J504" s="10">
        <v>741.72</v>
      </c>
      <c r="K504" s="10">
        <v>560.19000000000005</v>
      </c>
      <c r="L504" s="10">
        <v>0</v>
      </c>
      <c r="M504" s="10">
        <v>0</v>
      </c>
      <c r="N504" s="10">
        <f t="shared" si="100"/>
        <v>9315.5499999999993</v>
      </c>
    </row>
    <row r="505" spans="1:14" x14ac:dyDescent="0.2">
      <c r="A505" s="17" t="s">
        <v>333</v>
      </c>
      <c r="B505" s="10">
        <v>934.31</v>
      </c>
      <c r="C505" s="10">
        <v>663.16</v>
      </c>
      <c r="D505" s="10">
        <v>1297.01</v>
      </c>
      <c r="E505" s="10">
        <v>674.45</v>
      </c>
      <c r="F505" s="10">
        <v>616.79</v>
      </c>
      <c r="G505" s="10">
        <v>1351.35</v>
      </c>
      <c r="H505" s="10">
        <v>842.72</v>
      </c>
      <c r="I505" s="10">
        <v>596.1</v>
      </c>
      <c r="J505" s="10">
        <v>2391.42</v>
      </c>
      <c r="K505" s="10">
        <v>473.28</v>
      </c>
      <c r="L505" s="10">
        <v>734.21</v>
      </c>
      <c r="M505" s="10">
        <v>1952</v>
      </c>
      <c r="N505" s="10">
        <f t="shared" si="100"/>
        <v>12526.800000000003</v>
      </c>
    </row>
    <row r="506" spans="1:14" x14ac:dyDescent="0.2">
      <c r="A506" s="17" t="s">
        <v>334</v>
      </c>
      <c r="B506" s="10">
        <v>0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60.69</v>
      </c>
      <c r="L506" s="10">
        <v>77.16</v>
      </c>
      <c r="M506" s="10">
        <v>0</v>
      </c>
      <c r="N506" s="10">
        <f t="shared" si="100"/>
        <v>137.85</v>
      </c>
    </row>
    <row r="507" spans="1:14" x14ac:dyDescent="0.2">
      <c r="A507" s="17" t="s">
        <v>335</v>
      </c>
      <c r="B507" s="10">
        <v>3628.83</v>
      </c>
      <c r="C507" s="10">
        <v>3903.25</v>
      </c>
      <c r="D507" s="10">
        <v>3724.54</v>
      </c>
      <c r="E507" s="10">
        <v>3816.69</v>
      </c>
      <c r="F507" s="10">
        <v>4171.22</v>
      </c>
      <c r="G507" s="10">
        <v>3554.09</v>
      </c>
      <c r="H507" s="10">
        <v>3447.36</v>
      </c>
      <c r="I507" s="10">
        <v>3493.19</v>
      </c>
      <c r="J507" s="10">
        <v>3077.2</v>
      </c>
      <c r="K507" s="10">
        <v>3402.48</v>
      </c>
      <c r="L507" s="10">
        <v>3455.84</v>
      </c>
      <c r="M507" s="10">
        <v>2868.04</v>
      </c>
      <c r="N507" s="10">
        <f t="shared" si="100"/>
        <v>42542.73</v>
      </c>
    </row>
    <row r="508" spans="1:14" x14ac:dyDescent="0.2">
      <c r="A508" s="17" t="s">
        <v>336</v>
      </c>
      <c r="B508" s="10">
        <v>23.75</v>
      </c>
      <c r="C508" s="10">
        <v>0</v>
      </c>
      <c r="D508" s="10">
        <v>0</v>
      </c>
      <c r="E508" s="10">
        <v>19.61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21.52</v>
      </c>
      <c r="L508" s="10">
        <v>0</v>
      </c>
      <c r="M508" s="10">
        <v>0</v>
      </c>
      <c r="N508" s="10">
        <f t="shared" si="100"/>
        <v>64.88</v>
      </c>
    </row>
    <row r="509" spans="1:14" ht="4.95" customHeight="1" x14ac:dyDescent="0.2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 spans="1:14" ht="4.95" customHeight="1" x14ac:dyDescent="0.2"/>
    <row r="511" spans="1:14" x14ac:dyDescent="0.2">
      <c r="A511" s="16" t="s">
        <v>139</v>
      </c>
      <c r="B511" s="9">
        <f t="shared" ref="B511:N511" si="101">SUM(B501:B508)</f>
        <v>4949.54</v>
      </c>
      <c r="C511" s="9">
        <f t="shared" si="101"/>
        <v>6620.2</v>
      </c>
      <c r="D511" s="9">
        <f t="shared" si="101"/>
        <v>9444.0299999999988</v>
      </c>
      <c r="E511" s="9">
        <f t="shared" si="101"/>
        <v>7000.2699999999995</v>
      </c>
      <c r="F511" s="9">
        <f t="shared" si="101"/>
        <v>5451.85</v>
      </c>
      <c r="G511" s="9">
        <f t="shared" si="101"/>
        <v>5513.6900000000005</v>
      </c>
      <c r="H511" s="9">
        <f t="shared" si="101"/>
        <v>4696.0600000000004</v>
      </c>
      <c r="I511" s="9">
        <f t="shared" si="101"/>
        <v>4452.8</v>
      </c>
      <c r="J511" s="9">
        <f t="shared" si="101"/>
        <v>6536.29</v>
      </c>
      <c r="K511" s="9">
        <f t="shared" si="101"/>
        <v>4794.630000000001</v>
      </c>
      <c r="L511" s="9">
        <f t="shared" si="101"/>
        <v>4757.58</v>
      </c>
      <c r="M511" s="9">
        <f t="shared" si="101"/>
        <v>5187.66</v>
      </c>
      <c r="N511" s="9">
        <f t="shared" si="101"/>
        <v>69404.600000000006</v>
      </c>
    </row>
    <row r="512" spans="1:14" ht="4.95" customHeight="1" x14ac:dyDescent="0.2"/>
    <row r="513" spans="1:14" ht="4.95" customHeight="1" x14ac:dyDescent="0.2"/>
    <row r="514" spans="1:14" x14ac:dyDescent="0.2">
      <c r="A514" s="16" t="s">
        <v>337</v>
      </c>
      <c r="B514" s="9">
        <f t="shared" ref="B514:N514" si="102">B472+B498+B511</f>
        <v>40142.75</v>
      </c>
      <c r="C514" s="9">
        <f t="shared" si="102"/>
        <v>35998.9</v>
      </c>
      <c r="D514" s="9">
        <f t="shared" si="102"/>
        <v>38558.79</v>
      </c>
      <c r="E514" s="9">
        <f t="shared" si="102"/>
        <v>38941.75</v>
      </c>
      <c r="F514" s="9">
        <f t="shared" si="102"/>
        <v>34232.269999999997</v>
      </c>
      <c r="G514" s="9">
        <f t="shared" si="102"/>
        <v>34286.379999999997</v>
      </c>
      <c r="H514" s="9">
        <f t="shared" si="102"/>
        <v>36970.11</v>
      </c>
      <c r="I514" s="9">
        <f t="shared" si="102"/>
        <v>29550.600000000002</v>
      </c>
      <c r="J514" s="9">
        <f t="shared" si="102"/>
        <v>28151.550000000003</v>
      </c>
      <c r="K514" s="9">
        <f t="shared" si="102"/>
        <v>27633.460000000003</v>
      </c>
      <c r="L514" s="9">
        <f t="shared" si="102"/>
        <v>29055.810000000005</v>
      </c>
      <c r="M514" s="9">
        <f t="shared" si="102"/>
        <v>26401.41</v>
      </c>
      <c r="N514" s="9">
        <f t="shared" si="102"/>
        <v>399923.78</v>
      </c>
    </row>
    <row r="515" spans="1:14" ht="4.95" customHeight="1" x14ac:dyDescent="0.2"/>
    <row r="516" spans="1:14" x14ac:dyDescent="0.2">
      <c r="A516" s="7" t="s">
        <v>338</v>
      </c>
      <c r="B516" s="9">
        <f t="shared" ref="B516:N516" si="103">B465-B514</f>
        <v>4690.8000000000029</v>
      </c>
      <c r="C516" s="9">
        <f t="shared" si="103"/>
        <v>11988.559999999998</v>
      </c>
      <c r="D516" s="9">
        <f t="shared" si="103"/>
        <v>6851.32</v>
      </c>
      <c r="E516" s="9">
        <f t="shared" si="103"/>
        <v>7628.3899999999994</v>
      </c>
      <c r="F516" s="9">
        <f t="shared" si="103"/>
        <v>16685.850000000006</v>
      </c>
      <c r="G516" s="9">
        <f t="shared" si="103"/>
        <v>10139.75</v>
      </c>
      <c r="H516" s="9">
        <f t="shared" si="103"/>
        <v>6121.8600000000006</v>
      </c>
      <c r="I516" s="9">
        <f t="shared" si="103"/>
        <v>14114.259999999998</v>
      </c>
      <c r="J516" s="9">
        <f t="shared" si="103"/>
        <v>10313.39</v>
      </c>
      <c r="K516" s="9">
        <f t="shared" si="103"/>
        <v>14897.560000000001</v>
      </c>
      <c r="L516" s="9">
        <f t="shared" si="103"/>
        <v>14142.25</v>
      </c>
      <c r="M516" s="9">
        <f t="shared" si="103"/>
        <v>9449.0799999999981</v>
      </c>
      <c r="N516" s="9">
        <f t="shared" si="103"/>
        <v>127023.06999999995</v>
      </c>
    </row>
    <row r="517" spans="1:14" ht="4.95" customHeight="1" x14ac:dyDescent="0.2"/>
    <row r="518" spans="1:14" x14ac:dyDescent="0.2">
      <c r="A518" s="16" t="s">
        <v>339</v>
      </c>
    </row>
    <row r="520" spans="1:14" x14ac:dyDescent="0.2">
      <c r="A520" s="16" t="s">
        <v>340</v>
      </c>
    </row>
    <row r="521" spans="1:14" x14ac:dyDescent="0.2">
      <c r="A521" s="16" t="s">
        <v>341</v>
      </c>
    </row>
    <row r="522" spans="1:14" x14ac:dyDescent="0.2">
      <c r="A522" s="17" t="s">
        <v>342</v>
      </c>
      <c r="B522" s="10">
        <v>25780.5</v>
      </c>
      <c r="C522" s="10">
        <v>31936.23</v>
      </c>
      <c r="D522" s="10">
        <v>33504.5</v>
      </c>
      <c r="E522" s="10">
        <v>27838.5</v>
      </c>
      <c r="F522" s="10">
        <v>29091.73</v>
      </c>
      <c r="G522" s="10">
        <v>25278</v>
      </c>
      <c r="H522" s="10">
        <v>28092.5</v>
      </c>
      <c r="I522" s="10">
        <v>17834.25</v>
      </c>
      <c r="J522" s="10">
        <v>19428.25</v>
      </c>
      <c r="K522" s="10">
        <v>20776.25</v>
      </c>
      <c r="L522" s="10">
        <v>23123</v>
      </c>
      <c r="M522" s="10">
        <v>17927</v>
      </c>
      <c r="N522" s="10">
        <f>B522+C522+D522+E522+F522+G522+H522+I522+J522+K522+L522+M522</f>
        <v>300610.70999999996</v>
      </c>
    </row>
    <row r="523" spans="1:14" ht="4.95" customHeight="1" x14ac:dyDescent="0.2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spans="1:14" ht="4.95" customHeight="1" x14ac:dyDescent="0.2"/>
    <row r="525" spans="1:14" x14ac:dyDescent="0.2">
      <c r="A525" s="16" t="s">
        <v>343</v>
      </c>
      <c r="B525" s="9">
        <f t="shared" ref="B525:N525" si="104">B522</f>
        <v>25780.5</v>
      </c>
      <c r="C525" s="9">
        <f t="shared" si="104"/>
        <v>31936.23</v>
      </c>
      <c r="D525" s="9">
        <f t="shared" si="104"/>
        <v>33504.5</v>
      </c>
      <c r="E525" s="9">
        <f t="shared" si="104"/>
        <v>27838.5</v>
      </c>
      <c r="F525" s="9">
        <f t="shared" si="104"/>
        <v>29091.73</v>
      </c>
      <c r="G525" s="9">
        <f t="shared" si="104"/>
        <v>25278</v>
      </c>
      <c r="H525" s="9">
        <f t="shared" si="104"/>
        <v>28092.5</v>
      </c>
      <c r="I525" s="9">
        <f t="shared" si="104"/>
        <v>17834.25</v>
      </c>
      <c r="J525" s="9">
        <f t="shared" si="104"/>
        <v>19428.25</v>
      </c>
      <c r="K525" s="9">
        <f t="shared" si="104"/>
        <v>20776.25</v>
      </c>
      <c r="L525" s="9">
        <f t="shared" si="104"/>
        <v>23123</v>
      </c>
      <c r="M525" s="9">
        <f t="shared" si="104"/>
        <v>17927</v>
      </c>
      <c r="N525" s="9">
        <f t="shared" si="104"/>
        <v>300610.70999999996</v>
      </c>
    </row>
    <row r="526" spans="1:14" ht="4.95" customHeight="1" x14ac:dyDescent="0.2"/>
    <row r="527" spans="1:14" x14ac:dyDescent="0.2">
      <c r="A527" s="16" t="s">
        <v>344</v>
      </c>
    </row>
    <row r="528" spans="1:14" x14ac:dyDescent="0.2">
      <c r="A528" s="17" t="s">
        <v>345</v>
      </c>
      <c r="B528" s="10">
        <v>9905.5</v>
      </c>
      <c r="C528" s="10">
        <v>9942</v>
      </c>
      <c r="D528" s="10">
        <v>10688</v>
      </c>
      <c r="E528" s="10">
        <v>8275.5</v>
      </c>
      <c r="F528" s="10">
        <v>9916</v>
      </c>
      <c r="G528" s="10">
        <v>8539</v>
      </c>
      <c r="H528" s="10">
        <v>8709.5</v>
      </c>
      <c r="I528" s="10">
        <v>5398.5</v>
      </c>
      <c r="J528" s="10">
        <v>6804.5</v>
      </c>
      <c r="K528" s="10">
        <v>9628.5</v>
      </c>
      <c r="L528" s="10">
        <v>8222.5</v>
      </c>
      <c r="M528" s="10">
        <v>6690</v>
      </c>
      <c r="N528" s="10">
        <f>B528+C528+D528+E528+F528+G528+H528+I528+J528+K528+L528+M528</f>
        <v>102719.5</v>
      </c>
    </row>
    <row r="529" spans="1:14" x14ac:dyDescent="0.2">
      <c r="A529" s="17" t="s">
        <v>346</v>
      </c>
      <c r="B529" s="10">
        <v>5009.5</v>
      </c>
      <c r="C529" s="10">
        <v>5194.5</v>
      </c>
      <c r="D529" s="10">
        <v>5349</v>
      </c>
      <c r="E529" s="10">
        <v>3994</v>
      </c>
      <c r="F529" s="10">
        <v>6032.5</v>
      </c>
      <c r="G529" s="10">
        <v>3832</v>
      </c>
      <c r="H529" s="10">
        <v>2812</v>
      </c>
      <c r="I529" s="10">
        <v>3242</v>
      </c>
      <c r="J529" s="10">
        <v>3348</v>
      </c>
      <c r="K529" s="10">
        <v>3935</v>
      </c>
      <c r="L529" s="10">
        <v>4229</v>
      </c>
      <c r="M529" s="10">
        <v>3302</v>
      </c>
      <c r="N529" s="10">
        <f>B529+C529+D529+E529+F529+G529+H529+I529+J529+K529+L529+M529</f>
        <v>50279.5</v>
      </c>
    </row>
    <row r="530" spans="1:14" x14ac:dyDescent="0.2">
      <c r="A530" s="17" t="s">
        <v>347</v>
      </c>
      <c r="B530" s="10">
        <v>24426</v>
      </c>
      <c r="C530" s="10">
        <v>28875</v>
      </c>
      <c r="D530" s="10">
        <v>25872</v>
      </c>
      <c r="E530" s="10">
        <v>19604</v>
      </c>
      <c r="F530" s="10">
        <v>26641</v>
      </c>
      <c r="G530" s="10">
        <v>16451</v>
      </c>
      <c r="H530" s="10">
        <v>17665</v>
      </c>
      <c r="I530" s="10">
        <v>18017</v>
      </c>
      <c r="J530" s="10">
        <v>17440</v>
      </c>
      <c r="K530" s="10">
        <v>21396</v>
      </c>
      <c r="L530" s="10">
        <v>22743</v>
      </c>
      <c r="M530" s="10">
        <v>17444</v>
      </c>
      <c r="N530" s="10">
        <f>B530+C530+D530+E530+F530+G530+H530+I530+J530+K530+L530+M530</f>
        <v>256574</v>
      </c>
    </row>
    <row r="531" spans="1:14" ht="4.95" customHeight="1" x14ac:dyDescent="0.2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 spans="1:14" ht="4.95" customHeight="1" x14ac:dyDescent="0.2"/>
    <row r="533" spans="1:14" x14ac:dyDescent="0.2">
      <c r="A533" s="16" t="s">
        <v>348</v>
      </c>
      <c r="B533" s="9">
        <f t="shared" ref="B533:N533" si="105">SUM(B528:B530)</f>
        <v>39341</v>
      </c>
      <c r="C533" s="9">
        <f t="shared" si="105"/>
        <v>44011.5</v>
      </c>
      <c r="D533" s="9">
        <f t="shared" si="105"/>
        <v>41909</v>
      </c>
      <c r="E533" s="9">
        <f t="shared" si="105"/>
        <v>31873.5</v>
      </c>
      <c r="F533" s="9">
        <f t="shared" si="105"/>
        <v>42589.5</v>
      </c>
      <c r="G533" s="9">
        <f t="shared" si="105"/>
        <v>28822</v>
      </c>
      <c r="H533" s="9">
        <f t="shared" si="105"/>
        <v>29186.5</v>
      </c>
      <c r="I533" s="9">
        <f t="shared" si="105"/>
        <v>26657.5</v>
      </c>
      <c r="J533" s="9">
        <f t="shared" si="105"/>
        <v>27592.5</v>
      </c>
      <c r="K533" s="9">
        <f t="shared" si="105"/>
        <v>34959.5</v>
      </c>
      <c r="L533" s="9">
        <f t="shared" si="105"/>
        <v>35194.5</v>
      </c>
      <c r="M533" s="9">
        <f t="shared" si="105"/>
        <v>27436</v>
      </c>
      <c r="N533" s="9">
        <f t="shared" si="105"/>
        <v>409573</v>
      </c>
    </row>
    <row r="534" spans="1:14" ht="4.95" customHeight="1" x14ac:dyDescent="0.2"/>
    <row r="535" spans="1:14" ht="4.95" customHeight="1" x14ac:dyDescent="0.2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spans="1:14" ht="4.95" customHeight="1" x14ac:dyDescent="0.2"/>
    <row r="537" spans="1:14" x14ac:dyDescent="0.2">
      <c r="A537" s="16" t="s">
        <v>349</v>
      </c>
      <c r="B537" s="9">
        <f t="shared" ref="B537:N537" si="106">B525+B533</f>
        <v>65121.5</v>
      </c>
      <c r="C537" s="9">
        <f t="shared" si="106"/>
        <v>75947.73</v>
      </c>
      <c r="D537" s="9">
        <f t="shared" si="106"/>
        <v>75413.5</v>
      </c>
      <c r="E537" s="9">
        <f t="shared" si="106"/>
        <v>59712</v>
      </c>
      <c r="F537" s="9">
        <f t="shared" si="106"/>
        <v>71681.23</v>
      </c>
      <c r="G537" s="9">
        <f t="shared" si="106"/>
        <v>54100</v>
      </c>
      <c r="H537" s="9">
        <f t="shared" si="106"/>
        <v>57279</v>
      </c>
      <c r="I537" s="9">
        <f t="shared" si="106"/>
        <v>44491.75</v>
      </c>
      <c r="J537" s="9">
        <f t="shared" si="106"/>
        <v>47020.75</v>
      </c>
      <c r="K537" s="9">
        <f t="shared" si="106"/>
        <v>55735.75</v>
      </c>
      <c r="L537" s="9">
        <f t="shared" si="106"/>
        <v>58317.5</v>
      </c>
      <c r="M537" s="9">
        <f t="shared" si="106"/>
        <v>45363</v>
      </c>
      <c r="N537" s="9">
        <f t="shared" si="106"/>
        <v>710183.71</v>
      </c>
    </row>
    <row r="539" spans="1:14" x14ac:dyDescent="0.2">
      <c r="A539" s="16" t="s">
        <v>350</v>
      </c>
    </row>
    <row r="540" spans="1:14" x14ac:dyDescent="0.2">
      <c r="A540" s="17" t="s">
        <v>351</v>
      </c>
      <c r="B540" s="10">
        <v>12075.09</v>
      </c>
      <c r="C540" s="10">
        <v>8733.0499999999993</v>
      </c>
      <c r="D540" s="10">
        <v>8941.41</v>
      </c>
      <c r="E540" s="10">
        <v>7087.36</v>
      </c>
      <c r="F540" s="10">
        <v>6991.72</v>
      </c>
      <c r="G540" s="10">
        <v>6952.31</v>
      </c>
      <c r="H540" s="10">
        <v>11725.62</v>
      </c>
      <c r="I540" s="10">
        <v>5485.99</v>
      </c>
      <c r="J540" s="10">
        <v>4079.57</v>
      </c>
      <c r="K540" s="10">
        <v>6130.76</v>
      </c>
      <c r="L540" s="10">
        <v>4991.03</v>
      </c>
      <c r="M540" s="10">
        <v>3706.53</v>
      </c>
      <c r="N540" s="10">
        <f>B540+C540+D540+E540+F540+G540+H540+I540+J540+K540+L540+M540</f>
        <v>86900.44</v>
      </c>
    </row>
    <row r="541" spans="1:14" x14ac:dyDescent="0.2">
      <c r="A541" s="17" t="s">
        <v>352</v>
      </c>
      <c r="B541" s="10">
        <v>6353.38</v>
      </c>
      <c r="C541" s="10">
        <v>7020.3</v>
      </c>
      <c r="D541" s="10">
        <v>7267.1</v>
      </c>
      <c r="E541" s="10">
        <v>5617.83</v>
      </c>
      <c r="F541" s="10">
        <v>6109.05</v>
      </c>
      <c r="G541" s="10">
        <v>4786.6099999999997</v>
      </c>
      <c r="H541" s="10">
        <v>4706.8900000000003</v>
      </c>
      <c r="I541" s="10">
        <v>3756.23</v>
      </c>
      <c r="J541" s="10">
        <v>3941.51</v>
      </c>
      <c r="K541" s="10">
        <v>5190.96</v>
      </c>
      <c r="L541" s="10">
        <v>5101.66</v>
      </c>
      <c r="M541" s="10">
        <v>3824.72</v>
      </c>
      <c r="N541" s="10">
        <f>B541+C541+D541+E541+F541+G541+H541+I541+J541+K541+L541+M541</f>
        <v>63676.240000000005</v>
      </c>
    </row>
    <row r="542" spans="1:14" ht="4.95" customHeight="1" x14ac:dyDescent="0.2"/>
    <row r="543" spans="1:14" ht="4.95" customHeight="1" x14ac:dyDescent="0.2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 spans="1:14" ht="4.95" customHeight="1" x14ac:dyDescent="0.2"/>
    <row r="545" spans="1:14" x14ac:dyDescent="0.2">
      <c r="A545" s="16" t="s">
        <v>353</v>
      </c>
      <c r="B545" s="9">
        <f t="shared" ref="B545:N545" si="107">SUM(B540:B541)</f>
        <v>18428.47</v>
      </c>
      <c r="C545" s="9">
        <f t="shared" si="107"/>
        <v>15753.349999999999</v>
      </c>
      <c r="D545" s="9">
        <f t="shared" si="107"/>
        <v>16208.51</v>
      </c>
      <c r="E545" s="9">
        <f t="shared" si="107"/>
        <v>12705.189999999999</v>
      </c>
      <c r="F545" s="9">
        <f t="shared" si="107"/>
        <v>13100.77</v>
      </c>
      <c r="G545" s="9">
        <f t="shared" si="107"/>
        <v>11738.92</v>
      </c>
      <c r="H545" s="9">
        <f t="shared" si="107"/>
        <v>16432.510000000002</v>
      </c>
      <c r="I545" s="9">
        <f t="shared" si="107"/>
        <v>9242.2199999999993</v>
      </c>
      <c r="J545" s="9">
        <f t="shared" si="107"/>
        <v>8021.08</v>
      </c>
      <c r="K545" s="9">
        <f t="shared" si="107"/>
        <v>11321.720000000001</v>
      </c>
      <c r="L545" s="9">
        <f t="shared" si="107"/>
        <v>10092.689999999999</v>
      </c>
      <c r="M545" s="9">
        <f t="shared" si="107"/>
        <v>7531.25</v>
      </c>
      <c r="N545" s="9">
        <f t="shared" si="107"/>
        <v>150576.68</v>
      </c>
    </row>
    <row r="546" spans="1:14" ht="4.95" customHeight="1" x14ac:dyDescent="0.2"/>
    <row r="547" spans="1:14" x14ac:dyDescent="0.2">
      <c r="A547" s="16" t="s">
        <v>194</v>
      </c>
      <c r="B547" s="9">
        <f t="shared" ref="B547:N547" si="108">(B537)-(B545)</f>
        <v>46693.03</v>
      </c>
      <c r="C547" s="9">
        <f t="shared" si="108"/>
        <v>60194.38</v>
      </c>
      <c r="D547" s="9">
        <f t="shared" si="108"/>
        <v>59204.99</v>
      </c>
      <c r="E547" s="9">
        <f t="shared" si="108"/>
        <v>47006.81</v>
      </c>
      <c r="F547" s="9">
        <f t="shared" si="108"/>
        <v>58580.459999999992</v>
      </c>
      <c r="G547" s="9">
        <f t="shared" si="108"/>
        <v>42361.08</v>
      </c>
      <c r="H547" s="9">
        <f t="shared" si="108"/>
        <v>40846.49</v>
      </c>
      <c r="I547" s="9">
        <f t="shared" si="108"/>
        <v>35249.53</v>
      </c>
      <c r="J547" s="9">
        <f t="shared" si="108"/>
        <v>38999.67</v>
      </c>
      <c r="K547" s="9">
        <f t="shared" si="108"/>
        <v>44414.03</v>
      </c>
      <c r="L547" s="9">
        <f t="shared" si="108"/>
        <v>48224.81</v>
      </c>
      <c r="M547" s="9">
        <f t="shared" si="108"/>
        <v>37831.75</v>
      </c>
      <c r="N547" s="9">
        <f t="shared" si="108"/>
        <v>559607.03</v>
      </c>
    </row>
    <row r="549" spans="1:14" x14ac:dyDescent="0.2">
      <c r="A549" s="16" t="s">
        <v>354</v>
      </c>
    </row>
    <row r="551" spans="1:14" x14ac:dyDescent="0.2">
      <c r="A551" s="16" t="s">
        <v>355</v>
      </c>
    </row>
    <row r="552" spans="1:14" x14ac:dyDescent="0.2">
      <c r="A552" s="16" t="s">
        <v>356</v>
      </c>
    </row>
    <row r="553" spans="1:14" x14ac:dyDescent="0.2">
      <c r="A553" s="17" t="s">
        <v>357</v>
      </c>
      <c r="B553" s="10">
        <v>936.11</v>
      </c>
      <c r="C553" s="10">
        <v>966.33</v>
      </c>
      <c r="D553" s="10">
        <v>988.8</v>
      </c>
      <c r="E553" s="10">
        <v>895.96</v>
      </c>
      <c r="F553" s="10">
        <v>882.72</v>
      </c>
      <c r="G553" s="10">
        <v>781.88</v>
      </c>
      <c r="H553" s="10">
        <v>727.95</v>
      </c>
      <c r="I553" s="10">
        <v>860.17</v>
      </c>
      <c r="J553" s="10">
        <v>1023.27</v>
      </c>
      <c r="K553" s="10">
        <v>895.31</v>
      </c>
      <c r="L553" s="10">
        <v>1061.1600000000001</v>
      </c>
      <c r="M553" s="10">
        <v>1191.8800000000001</v>
      </c>
      <c r="N553" s="10">
        <f>B553+C553+D553+E553+F553+G553+H553+I553+J553+K553+L553+M553</f>
        <v>11211.54</v>
      </c>
    </row>
    <row r="554" spans="1:14" x14ac:dyDescent="0.2">
      <c r="A554" s="17" t="s">
        <v>358</v>
      </c>
      <c r="B554" s="10">
        <v>3924.76</v>
      </c>
      <c r="C554" s="10">
        <v>4145.1899999999996</v>
      </c>
      <c r="D554" s="10">
        <v>4389.4399999999996</v>
      </c>
      <c r="E554" s="10">
        <v>3752.44</v>
      </c>
      <c r="F554" s="10">
        <v>4098.7</v>
      </c>
      <c r="G554" s="10">
        <v>3750.01</v>
      </c>
      <c r="H554" s="10">
        <v>3945.76</v>
      </c>
      <c r="I554" s="10">
        <v>3522.38</v>
      </c>
      <c r="J554" s="10">
        <v>2786.69</v>
      </c>
      <c r="K554" s="10">
        <v>2956.47</v>
      </c>
      <c r="L554" s="10">
        <v>3088.71</v>
      </c>
      <c r="M554" s="10">
        <v>2774.95</v>
      </c>
      <c r="N554" s="10">
        <f>B554+C554+D554+E554+F554+G554+H554+I554+J554+K554+L554+M554</f>
        <v>43135.5</v>
      </c>
    </row>
    <row r="555" spans="1:14" x14ac:dyDescent="0.2">
      <c r="A555" s="16" t="s">
        <v>359</v>
      </c>
      <c r="B555" s="9">
        <f t="shared" ref="B555:N555" si="109">SUM(B553:B554)</f>
        <v>4860.87</v>
      </c>
      <c r="C555" s="9">
        <f t="shared" si="109"/>
        <v>5111.5199999999995</v>
      </c>
      <c r="D555" s="9">
        <f t="shared" si="109"/>
        <v>5378.24</v>
      </c>
      <c r="E555" s="9">
        <f t="shared" si="109"/>
        <v>4648.3999999999996</v>
      </c>
      <c r="F555" s="9">
        <f t="shared" si="109"/>
        <v>4981.42</v>
      </c>
      <c r="G555" s="9">
        <f t="shared" si="109"/>
        <v>4531.8900000000003</v>
      </c>
      <c r="H555" s="9">
        <f t="shared" si="109"/>
        <v>4673.71</v>
      </c>
      <c r="I555" s="9">
        <f t="shared" si="109"/>
        <v>4382.55</v>
      </c>
      <c r="J555" s="9">
        <f t="shared" si="109"/>
        <v>3809.96</v>
      </c>
      <c r="K555" s="9">
        <f t="shared" si="109"/>
        <v>3851.7799999999997</v>
      </c>
      <c r="L555" s="9">
        <f t="shared" si="109"/>
        <v>4149.87</v>
      </c>
      <c r="M555" s="9">
        <f t="shared" si="109"/>
        <v>3966.83</v>
      </c>
      <c r="N555" s="9">
        <f t="shared" si="109"/>
        <v>54347.040000000001</v>
      </c>
    </row>
    <row r="556" spans="1:14" x14ac:dyDescent="0.2">
      <c r="A556" s="16" t="s">
        <v>360</v>
      </c>
      <c r="B556" s="9">
        <f t="shared" ref="B556:N556" si="110">B555</f>
        <v>4860.87</v>
      </c>
      <c r="C556" s="9">
        <f t="shared" si="110"/>
        <v>5111.5199999999995</v>
      </c>
      <c r="D556" s="9">
        <f t="shared" si="110"/>
        <v>5378.24</v>
      </c>
      <c r="E556" s="9">
        <f t="shared" si="110"/>
        <v>4648.3999999999996</v>
      </c>
      <c r="F556" s="9">
        <f t="shared" si="110"/>
        <v>4981.42</v>
      </c>
      <c r="G556" s="9">
        <f t="shared" si="110"/>
        <v>4531.8900000000003</v>
      </c>
      <c r="H556" s="9">
        <f t="shared" si="110"/>
        <v>4673.71</v>
      </c>
      <c r="I556" s="9">
        <f t="shared" si="110"/>
        <v>4382.55</v>
      </c>
      <c r="J556" s="9">
        <f t="shared" si="110"/>
        <v>3809.96</v>
      </c>
      <c r="K556" s="9">
        <f t="shared" si="110"/>
        <v>3851.7799999999997</v>
      </c>
      <c r="L556" s="9">
        <f t="shared" si="110"/>
        <v>4149.87</v>
      </c>
      <c r="M556" s="9">
        <f t="shared" si="110"/>
        <v>3966.83</v>
      </c>
      <c r="N556" s="9">
        <f t="shared" si="110"/>
        <v>54347.040000000001</v>
      </c>
    </row>
    <row r="558" spans="1:14" x14ac:dyDescent="0.2">
      <c r="A558" s="16" t="s">
        <v>361</v>
      </c>
    </row>
    <row r="559" spans="1:14" x14ac:dyDescent="0.2">
      <c r="A559" s="17" t="s">
        <v>362</v>
      </c>
      <c r="B559" s="10">
        <v>368.1</v>
      </c>
      <c r="C559" s="10">
        <v>436.02</v>
      </c>
      <c r="D559" s="10">
        <v>690</v>
      </c>
      <c r="E559" s="10">
        <v>176.03</v>
      </c>
      <c r="F559" s="10">
        <v>371.33</v>
      </c>
      <c r="G559" s="10">
        <v>363.32</v>
      </c>
      <c r="H559" s="10">
        <v>269.95</v>
      </c>
      <c r="I559" s="10">
        <v>443.28</v>
      </c>
      <c r="J559" s="10">
        <v>303.64</v>
      </c>
      <c r="K559" s="10">
        <v>270.02999999999997</v>
      </c>
      <c r="L559" s="10">
        <v>299.86</v>
      </c>
      <c r="M559" s="10">
        <v>290.86</v>
      </c>
      <c r="N559" s="10">
        <f t="shared" ref="N559:N564" si="111">B559+C559+D559+E559+F559+G559+H559+I559+J559+K559+L559+M559</f>
        <v>4282.42</v>
      </c>
    </row>
    <row r="560" spans="1:14" x14ac:dyDescent="0.2">
      <c r="A560" s="17" t="s">
        <v>363</v>
      </c>
      <c r="B560" s="10">
        <v>27.74</v>
      </c>
      <c r="C560" s="10">
        <v>26.84</v>
      </c>
      <c r="D560" s="10">
        <v>26.99</v>
      </c>
      <c r="E560" s="10">
        <v>24.53</v>
      </c>
      <c r="F560" s="10">
        <v>25.7</v>
      </c>
      <c r="G560" s="10">
        <v>26.08</v>
      </c>
      <c r="H560" s="10">
        <v>24.77</v>
      </c>
      <c r="I560" s="10">
        <v>22.33</v>
      </c>
      <c r="J560" s="10">
        <v>19.7</v>
      </c>
      <c r="K560" s="10">
        <v>18.53</v>
      </c>
      <c r="L560" s="10">
        <v>19.48</v>
      </c>
      <c r="M560" s="10">
        <v>22.1</v>
      </c>
      <c r="N560" s="10">
        <f t="shared" si="111"/>
        <v>284.79000000000002</v>
      </c>
    </row>
    <row r="561" spans="1:14" x14ac:dyDescent="0.2">
      <c r="A561" s="17" t="s">
        <v>364</v>
      </c>
      <c r="B561" s="10">
        <v>109.21</v>
      </c>
      <c r="C561" s="10">
        <v>104.82</v>
      </c>
      <c r="D561" s="10">
        <v>79.37</v>
      </c>
      <c r="E561" s="10">
        <v>107.3</v>
      </c>
      <c r="F561" s="10">
        <v>87.49</v>
      </c>
      <c r="G561" s="10">
        <v>80.86</v>
      </c>
      <c r="H561" s="10">
        <v>69.45</v>
      </c>
      <c r="I561" s="10">
        <v>79.33</v>
      </c>
      <c r="J561" s="10">
        <v>87.94</v>
      </c>
      <c r="K561" s="10">
        <v>68.05</v>
      </c>
      <c r="L561" s="10">
        <v>73.03</v>
      </c>
      <c r="M561" s="10">
        <v>97.54</v>
      </c>
      <c r="N561" s="10">
        <f t="shared" si="111"/>
        <v>1044.3899999999999</v>
      </c>
    </row>
    <row r="562" spans="1:14" x14ac:dyDescent="0.2">
      <c r="A562" s="17" t="s">
        <v>365</v>
      </c>
      <c r="B562" s="10">
        <v>420</v>
      </c>
      <c r="C562" s="10">
        <v>0</v>
      </c>
      <c r="D562" s="10">
        <v>0</v>
      </c>
      <c r="E562" s="10">
        <v>71.28</v>
      </c>
      <c r="F562" s="10">
        <v>71.28</v>
      </c>
      <c r="G562" s="10">
        <v>70.56</v>
      </c>
      <c r="H562" s="10">
        <v>0</v>
      </c>
      <c r="I562" s="10">
        <v>71.28</v>
      </c>
      <c r="J562" s="10">
        <v>0</v>
      </c>
      <c r="K562" s="10">
        <v>0</v>
      </c>
      <c r="L562" s="10">
        <v>0</v>
      </c>
      <c r="M562" s="10">
        <v>0</v>
      </c>
      <c r="N562" s="10">
        <f t="shared" si="111"/>
        <v>704.39999999999986</v>
      </c>
    </row>
    <row r="563" spans="1:14" x14ac:dyDescent="0.2">
      <c r="A563" s="17" t="s">
        <v>366</v>
      </c>
      <c r="B563" s="10">
        <v>0</v>
      </c>
      <c r="C563" s="10">
        <v>70.08</v>
      </c>
      <c r="D563" s="10">
        <v>140.08000000000001</v>
      </c>
      <c r="E563" s="10">
        <v>70.56</v>
      </c>
      <c r="F563" s="10">
        <v>141.12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10">
        <v>70.56</v>
      </c>
      <c r="M563" s="10">
        <v>0</v>
      </c>
      <c r="N563" s="10">
        <f t="shared" si="111"/>
        <v>492.40000000000003</v>
      </c>
    </row>
    <row r="564" spans="1:14" x14ac:dyDescent="0.2">
      <c r="A564" s="17" t="s">
        <v>367</v>
      </c>
      <c r="B564" s="10">
        <v>237.63</v>
      </c>
      <c r="C564" s="10">
        <v>0</v>
      </c>
      <c r="D564" s="10">
        <v>0</v>
      </c>
      <c r="E564" s="10">
        <v>0</v>
      </c>
      <c r="F564" s="10">
        <v>0</v>
      </c>
      <c r="G564" s="10">
        <v>235.01</v>
      </c>
      <c r="H564" s="10">
        <v>117.77</v>
      </c>
      <c r="I564" s="10">
        <v>0</v>
      </c>
      <c r="J564" s="10">
        <v>115.57</v>
      </c>
      <c r="K564" s="10">
        <v>0</v>
      </c>
      <c r="L564" s="10">
        <v>0</v>
      </c>
      <c r="M564" s="10">
        <v>116.96</v>
      </c>
      <c r="N564" s="10">
        <f t="shared" si="111"/>
        <v>822.94</v>
      </c>
    </row>
    <row r="565" spans="1:14" x14ac:dyDescent="0.2">
      <c r="A565" s="16" t="s">
        <v>368</v>
      </c>
      <c r="B565" s="9">
        <f t="shared" ref="B565:N565" si="112">SUM(B559:B564)</f>
        <v>1162.6799999999998</v>
      </c>
      <c r="C565" s="9">
        <f t="shared" si="112"/>
        <v>637.76</v>
      </c>
      <c r="D565" s="9">
        <f t="shared" si="112"/>
        <v>936.44</v>
      </c>
      <c r="E565" s="9">
        <f t="shared" si="112"/>
        <v>449.7</v>
      </c>
      <c r="F565" s="9">
        <f t="shared" si="112"/>
        <v>696.92</v>
      </c>
      <c r="G565" s="9">
        <f t="shared" si="112"/>
        <v>775.82999999999993</v>
      </c>
      <c r="H565" s="9">
        <f t="shared" si="112"/>
        <v>481.93999999999994</v>
      </c>
      <c r="I565" s="9">
        <f t="shared" si="112"/>
        <v>616.21999999999991</v>
      </c>
      <c r="J565" s="9">
        <f t="shared" si="112"/>
        <v>526.84999999999991</v>
      </c>
      <c r="K565" s="9">
        <f t="shared" si="112"/>
        <v>356.60999999999996</v>
      </c>
      <c r="L565" s="9">
        <f t="shared" si="112"/>
        <v>462.93</v>
      </c>
      <c r="M565" s="9">
        <f t="shared" si="112"/>
        <v>527.46</v>
      </c>
      <c r="N565" s="9">
        <f t="shared" si="112"/>
        <v>7631.34</v>
      </c>
    </row>
    <row r="566" spans="1:14" ht="4.95" customHeight="1" x14ac:dyDescent="0.2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 spans="1:14" ht="4.95" customHeight="1" x14ac:dyDescent="0.2"/>
    <row r="568" spans="1:14" x14ac:dyDescent="0.2">
      <c r="A568" s="16" t="s">
        <v>369</v>
      </c>
      <c r="B568" s="9">
        <f t="shared" ref="B568:N568" si="113">B556+B565</f>
        <v>6023.5499999999993</v>
      </c>
      <c r="C568" s="9">
        <f t="shared" si="113"/>
        <v>5749.28</v>
      </c>
      <c r="D568" s="9">
        <f t="shared" si="113"/>
        <v>6314.68</v>
      </c>
      <c r="E568" s="9">
        <f t="shared" si="113"/>
        <v>5098.0999999999995</v>
      </c>
      <c r="F568" s="9">
        <f t="shared" si="113"/>
        <v>5678.34</v>
      </c>
      <c r="G568" s="9">
        <f t="shared" si="113"/>
        <v>5307.72</v>
      </c>
      <c r="H568" s="9">
        <f t="shared" si="113"/>
        <v>5155.6499999999996</v>
      </c>
      <c r="I568" s="9">
        <f t="shared" si="113"/>
        <v>4998.7700000000004</v>
      </c>
      <c r="J568" s="9">
        <f t="shared" si="113"/>
        <v>4336.8099999999995</v>
      </c>
      <c r="K568" s="9">
        <f t="shared" si="113"/>
        <v>4208.3899999999994</v>
      </c>
      <c r="L568" s="9">
        <f t="shared" si="113"/>
        <v>4612.8</v>
      </c>
      <c r="M568" s="9">
        <f t="shared" si="113"/>
        <v>4494.29</v>
      </c>
      <c r="N568" s="9">
        <f t="shared" si="113"/>
        <v>61978.380000000005</v>
      </c>
    </row>
    <row r="569" spans="1:14" ht="4.95" customHeight="1" x14ac:dyDescent="0.2"/>
    <row r="570" spans="1:14" x14ac:dyDescent="0.2">
      <c r="A570" s="16" t="s">
        <v>114</v>
      </c>
    </row>
    <row r="571" spans="1:14" x14ac:dyDescent="0.2">
      <c r="A571" s="17" t="s">
        <v>370</v>
      </c>
      <c r="B571" s="10">
        <v>0</v>
      </c>
      <c r="C571" s="10">
        <v>0</v>
      </c>
      <c r="D571" s="10">
        <v>0</v>
      </c>
      <c r="E571" s="10">
        <v>271.02999999999997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f>B571+C571+D571+E571+F571+G571+H571+I571+J571+K571+L571+M571</f>
        <v>271.02999999999997</v>
      </c>
    </row>
    <row r="572" spans="1:14" x14ac:dyDescent="0.2">
      <c r="A572" s="17" t="s">
        <v>371</v>
      </c>
      <c r="B572" s="10">
        <v>837.42</v>
      </c>
      <c r="C572" s="10">
        <v>437.91</v>
      </c>
      <c r="D572" s="10">
        <v>437.91</v>
      </c>
      <c r="E572" s="10">
        <v>437.91</v>
      </c>
      <c r="F572" s="10">
        <v>466.04</v>
      </c>
      <c r="G572" s="10">
        <v>437.91</v>
      </c>
      <c r="H572" s="10">
        <v>437.91</v>
      </c>
      <c r="I572" s="10">
        <v>512.67999999999995</v>
      </c>
      <c r="J572" s="10">
        <v>512.67999999999995</v>
      </c>
      <c r="K572" s="10">
        <v>512.67999999999995</v>
      </c>
      <c r="L572" s="10">
        <v>512.67999999999995</v>
      </c>
      <c r="M572" s="10">
        <v>512.67999999999995</v>
      </c>
      <c r="N572" s="10">
        <f>B572+C572+D572+E572+F572+G572+H572+I572+J572+K572+L572+M572</f>
        <v>6056.4100000000008</v>
      </c>
    </row>
    <row r="573" spans="1:14" x14ac:dyDescent="0.2">
      <c r="A573" s="17" t="s">
        <v>372</v>
      </c>
      <c r="B573" s="10">
        <v>0</v>
      </c>
      <c r="C573" s="10">
        <v>1090.53</v>
      </c>
      <c r="D573" s="10">
        <v>42.77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f>B573+C573+D573+E573+F573+G573+H573+I573+J573+K573+L573+M573</f>
        <v>1133.3</v>
      </c>
    </row>
    <row r="574" spans="1:14" ht="4.95" customHeight="1" x14ac:dyDescent="0.2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 spans="1:14" ht="4.95" customHeight="1" x14ac:dyDescent="0.2"/>
    <row r="576" spans="1:14" x14ac:dyDescent="0.2">
      <c r="A576" s="16" t="s">
        <v>139</v>
      </c>
      <c r="B576" s="9">
        <f t="shared" ref="B576:N576" si="114">SUM(B571:B573)</f>
        <v>837.42</v>
      </c>
      <c r="C576" s="9">
        <f t="shared" si="114"/>
        <v>1528.44</v>
      </c>
      <c r="D576" s="9">
        <f t="shared" si="114"/>
        <v>480.68</v>
      </c>
      <c r="E576" s="9">
        <f t="shared" si="114"/>
        <v>708.94</v>
      </c>
      <c r="F576" s="9">
        <f t="shared" si="114"/>
        <v>466.04</v>
      </c>
      <c r="G576" s="9">
        <f t="shared" si="114"/>
        <v>437.91</v>
      </c>
      <c r="H576" s="9">
        <f t="shared" si="114"/>
        <v>437.91</v>
      </c>
      <c r="I576" s="9">
        <f t="shared" si="114"/>
        <v>512.67999999999995</v>
      </c>
      <c r="J576" s="9">
        <f t="shared" si="114"/>
        <v>512.67999999999995</v>
      </c>
      <c r="K576" s="9">
        <f t="shared" si="114"/>
        <v>512.67999999999995</v>
      </c>
      <c r="L576" s="9">
        <f t="shared" si="114"/>
        <v>512.67999999999995</v>
      </c>
      <c r="M576" s="9">
        <f t="shared" si="114"/>
        <v>512.67999999999995</v>
      </c>
      <c r="N576" s="9">
        <f t="shared" si="114"/>
        <v>7460.7400000000007</v>
      </c>
    </row>
    <row r="577" spans="1:14" ht="4.95" customHeight="1" x14ac:dyDescent="0.2"/>
    <row r="578" spans="1:14" ht="4.95" customHeight="1" x14ac:dyDescent="0.2"/>
    <row r="579" spans="1:14" x14ac:dyDescent="0.2">
      <c r="A579" s="16" t="s">
        <v>373</v>
      </c>
      <c r="B579" s="9">
        <f t="shared" ref="B579:N579" si="115">B545+B568+B576</f>
        <v>25289.439999999999</v>
      </c>
      <c r="C579" s="9">
        <f t="shared" si="115"/>
        <v>23031.069999999996</v>
      </c>
      <c r="D579" s="9">
        <f t="shared" si="115"/>
        <v>23003.870000000003</v>
      </c>
      <c r="E579" s="9">
        <f t="shared" si="115"/>
        <v>18512.229999999996</v>
      </c>
      <c r="F579" s="9">
        <f t="shared" si="115"/>
        <v>19245.150000000001</v>
      </c>
      <c r="G579" s="9">
        <f t="shared" si="115"/>
        <v>17484.55</v>
      </c>
      <c r="H579" s="9">
        <f t="shared" si="115"/>
        <v>22026.070000000003</v>
      </c>
      <c r="I579" s="9">
        <f t="shared" si="115"/>
        <v>14753.67</v>
      </c>
      <c r="J579" s="9">
        <f t="shared" si="115"/>
        <v>12870.57</v>
      </c>
      <c r="K579" s="9">
        <f t="shared" si="115"/>
        <v>16042.79</v>
      </c>
      <c r="L579" s="9">
        <f t="shared" si="115"/>
        <v>15218.169999999998</v>
      </c>
      <c r="M579" s="9">
        <f t="shared" si="115"/>
        <v>12538.220000000001</v>
      </c>
      <c r="N579" s="9">
        <f t="shared" si="115"/>
        <v>220015.8</v>
      </c>
    </row>
    <row r="580" spans="1:14" ht="4.95" customHeight="1" x14ac:dyDescent="0.2"/>
    <row r="581" spans="1:14" x14ac:dyDescent="0.2">
      <c r="A581" s="7" t="s">
        <v>374</v>
      </c>
      <c r="B581" s="9">
        <f t="shared" ref="B581:N581" si="116">B537-B579</f>
        <v>39832.06</v>
      </c>
      <c r="C581" s="9">
        <f t="shared" si="116"/>
        <v>52916.66</v>
      </c>
      <c r="D581" s="9">
        <f t="shared" si="116"/>
        <v>52409.63</v>
      </c>
      <c r="E581" s="9">
        <f t="shared" si="116"/>
        <v>41199.770000000004</v>
      </c>
      <c r="F581" s="9">
        <f t="shared" si="116"/>
        <v>52436.079999999994</v>
      </c>
      <c r="G581" s="9">
        <f t="shared" si="116"/>
        <v>36615.449999999997</v>
      </c>
      <c r="H581" s="9">
        <f t="shared" si="116"/>
        <v>35252.929999999993</v>
      </c>
      <c r="I581" s="9">
        <f t="shared" si="116"/>
        <v>29738.080000000002</v>
      </c>
      <c r="J581" s="9">
        <f t="shared" si="116"/>
        <v>34150.18</v>
      </c>
      <c r="K581" s="9">
        <f t="shared" si="116"/>
        <v>39692.959999999999</v>
      </c>
      <c r="L581" s="9">
        <f t="shared" si="116"/>
        <v>43099.33</v>
      </c>
      <c r="M581" s="9">
        <f t="shared" si="116"/>
        <v>32824.78</v>
      </c>
      <c r="N581" s="9">
        <f t="shared" si="116"/>
        <v>490167.91</v>
      </c>
    </row>
    <row r="582" spans="1:14" ht="4.95" customHeight="1" x14ac:dyDescent="0.2"/>
    <row r="583" spans="1:14" x14ac:dyDescent="0.2">
      <c r="A583" s="16" t="s">
        <v>339</v>
      </c>
    </row>
    <row r="584" spans="1:14" x14ac:dyDescent="0.2">
      <c r="A584" s="16" t="s">
        <v>375</v>
      </c>
    </row>
    <row r="585" spans="1:14" x14ac:dyDescent="0.2">
      <c r="A585" s="17" t="s">
        <v>376</v>
      </c>
      <c r="B585" s="18">
        <v>1718</v>
      </c>
      <c r="C585" s="18">
        <v>2130</v>
      </c>
      <c r="D585" s="18">
        <v>2236</v>
      </c>
      <c r="E585" s="18">
        <v>1856</v>
      </c>
      <c r="F585" s="18">
        <v>1929</v>
      </c>
      <c r="G585" s="18">
        <v>1684</v>
      </c>
      <c r="H585" s="18">
        <v>1873</v>
      </c>
      <c r="I585" s="18">
        <v>1187</v>
      </c>
      <c r="J585" s="18">
        <v>1298</v>
      </c>
      <c r="K585" s="18">
        <v>1386</v>
      </c>
      <c r="L585" s="18">
        <v>1541</v>
      </c>
      <c r="M585" s="18">
        <v>1129</v>
      </c>
      <c r="N585" s="18">
        <f>B585+C585+D585+E585+F585+G585+H585+I585+J585+K585+L585+M585</f>
        <v>19967</v>
      </c>
    </row>
    <row r="586" spans="1:14" x14ac:dyDescent="0.2">
      <c r="A586" s="17" t="s">
        <v>377</v>
      </c>
      <c r="B586" s="10">
        <v>15.01</v>
      </c>
      <c r="C586" s="10">
        <v>14.99</v>
      </c>
      <c r="D586" s="10">
        <v>14.98</v>
      </c>
      <c r="E586" s="10">
        <v>15</v>
      </c>
      <c r="F586" s="10">
        <v>15.08</v>
      </c>
      <c r="G586" s="10">
        <v>15.01</v>
      </c>
      <c r="H586" s="10">
        <v>15</v>
      </c>
      <c r="I586" s="10">
        <v>15.02</v>
      </c>
      <c r="J586" s="10">
        <v>14.97</v>
      </c>
      <c r="K586" s="10">
        <v>14.99</v>
      </c>
      <c r="L586" s="10">
        <v>15.01</v>
      </c>
      <c r="M586" s="10">
        <v>15.88</v>
      </c>
      <c r="N586" s="10">
        <f>B586+C586+D586+E586+F586+G586+H586+I586+J586+K586+L586+M586</f>
        <v>180.94</v>
      </c>
    </row>
    <row r="587" spans="1:14" ht="4.95" customHeight="1" x14ac:dyDescent="0.2"/>
    <row r="588" spans="1:14" ht="4.95" customHeight="1" x14ac:dyDescent="0.2"/>
    <row r="589" spans="1:14" ht="4.95" customHeight="1" x14ac:dyDescent="0.2"/>
    <row r="590" spans="1:14" x14ac:dyDescent="0.2">
      <c r="A590" s="16" t="s">
        <v>378</v>
      </c>
    </row>
    <row r="592" spans="1:14" x14ac:dyDescent="0.2">
      <c r="A592" s="16" t="s">
        <v>379</v>
      </c>
    </row>
    <row r="593" spans="1:14" x14ac:dyDescent="0.2">
      <c r="A593" s="16" t="s">
        <v>380</v>
      </c>
    </row>
    <row r="594" spans="1:14" x14ac:dyDescent="0.2">
      <c r="A594" s="17" t="s">
        <v>381</v>
      </c>
      <c r="B594" s="10">
        <v>574</v>
      </c>
      <c r="C594" s="10">
        <v>591</v>
      </c>
      <c r="D594" s="10">
        <v>1036.5</v>
      </c>
      <c r="E594" s="10">
        <v>427</v>
      </c>
      <c r="F594" s="10">
        <v>1132.8499999999999</v>
      </c>
      <c r="G594" s="10">
        <v>795</v>
      </c>
      <c r="H594" s="10">
        <v>664.9</v>
      </c>
      <c r="I594" s="10">
        <v>460</v>
      </c>
      <c r="J594" s="10">
        <v>355</v>
      </c>
      <c r="K594" s="10">
        <v>813.95</v>
      </c>
      <c r="L594" s="10">
        <v>703.95</v>
      </c>
      <c r="M594" s="10">
        <v>413.95</v>
      </c>
      <c r="N594" s="10">
        <f>B594+C594+D594+E594+F594+G594+H594+I594+J594+K594+L594+M594</f>
        <v>7968.0999999999995</v>
      </c>
    </row>
    <row r="595" spans="1:14" x14ac:dyDescent="0.2">
      <c r="A595" s="17" t="s">
        <v>382</v>
      </c>
      <c r="B595" s="10">
        <v>433.5</v>
      </c>
      <c r="C595" s="10">
        <v>573</v>
      </c>
      <c r="D595" s="10">
        <v>427</v>
      </c>
      <c r="E595" s="10">
        <v>500</v>
      </c>
      <c r="F595" s="10">
        <v>1115.5</v>
      </c>
      <c r="G595" s="10">
        <v>490</v>
      </c>
      <c r="H595" s="10">
        <v>710</v>
      </c>
      <c r="I595" s="10">
        <v>207</v>
      </c>
      <c r="J595" s="10">
        <v>172</v>
      </c>
      <c r="K595" s="10">
        <v>786</v>
      </c>
      <c r="L595" s="10">
        <v>339</v>
      </c>
      <c r="M595" s="10">
        <v>260</v>
      </c>
      <c r="N595" s="10">
        <f>B595+C595+D595+E595+F595+G595+H595+I595+J595+K595+L595+M595</f>
        <v>6013</v>
      </c>
    </row>
    <row r="596" spans="1:14" x14ac:dyDescent="0.2">
      <c r="A596" s="17" t="s">
        <v>383</v>
      </c>
      <c r="B596" s="10">
        <v>2987.1</v>
      </c>
      <c r="C596" s="10">
        <v>3507.5</v>
      </c>
      <c r="D596" s="10">
        <v>4473</v>
      </c>
      <c r="E596" s="10">
        <v>3561.5</v>
      </c>
      <c r="F596" s="10">
        <v>4434</v>
      </c>
      <c r="G596" s="10">
        <v>1785</v>
      </c>
      <c r="H596" s="10">
        <v>3535.5</v>
      </c>
      <c r="I596" s="10">
        <v>1601</v>
      </c>
      <c r="J596" s="10">
        <v>2699</v>
      </c>
      <c r="K596" s="10">
        <v>3789</v>
      </c>
      <c r="L596" s="10">
        <v>3576</v>
      </c>
      <c r="M596" s="10">
        <v>2700.5</v>
      </c>
      <c r="N596" s="10">
        <f>B596+C596+D596+E596+F596+G596+H596+I596+J596+K596+L596+M596</f>
        <v>38649.1</v>
      </c>
    </row>
    <row r="597" spans="1:14" ht="4.95" customHeight="1" x14ac:dyDescent="0.2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 spans="1:14" ht="4.95" customHeight="1" x14ac:dyDescent="0.2"/>
    <row r="599" spans="1:14" x14ac:dyDescent="0.2">
      <c r="A599" s="16" t="s">
        <v>384</v>
      </c>
      <c r="B599" s="9">
        <f t="shared" ref="B599:N599" si="117">SUM(B594:B596)</f>
        <v>3994.6</v>
      </c>
      <c r="C599" s="9">
        <f t="shared" si="117"/>
        <v>4671.5</v>
      </c>
      <c r="D599" s="9">
        <f t="shared" si="117"/>
        <v>5936.5</v>
      </c>
      <c r="E599" s="9">
        <f t="shared" si="117"/>
        <v>4488.5</v>
      </c>
      <c r="F599" s="9">
        <f t="shared" si="117"/>
        <v>6682.35</v>
      </c>
      <c r="G599" s="9">
        <f t="shared" si="117"/>
        <v>3070</v>
      </c>
      <c r="H599" s="9">
        <f t="shared" si="117"/>
        <v>4910.3999999999996</v>
      </c>
      <c r="I599" s="9">
        <f t="shared" si="117"/>
        <v>2268</v>
      </c>
      <c r="J599" s="9">
        <f t="shared" si="117"/>
        <v>3226</v>
      </c>
      <c r="K599" s="9">
        <f t="shared" si="117"/>
        <v>5388.95</v>
      </c>
      <c r="L599" s="9">
        <f t="shared" si="117"/>
        <v>4618.95</v>
      </c>
      <c r="M599" s="9">
        <f t="shared" si="117"/>
        <v>3374.45</v>
      </c>
      <c r="N599" s="9">
        <f t="shared" si="117"/>
        <v>52630.2</v>
      </c>
    </row>
    <row r="600" spans="1:14" ht="4.95" customHeight="1" x14ac:dyDescent="0.2"/>
    <row r="601" spans="1:14" x14ac:dyDescent="0.2">
      <c r="A601" s="16" t="s">
        <v>385</v>
      </c>
    </row>
    <row r="602" spans="1:14" x14ac:dyDescent="0.2">
      <c r="A602" s="17" t="s">
        <v>386</v>
      </c>
      <c r="B602" s="10">
        <v>114</v>
      </c>
      <c r="C602" s="10">
        <v>74.5</v>
      </c>
      <c r="D602" s="10">
        <v>113.5</v>
      </c>
      <c r="E602" s="10">
        <v>17.5</v>
      </c>
      <c r="F602" s="10">
        <v>99.5</v>
      </c>
      <c r="G602" s="10">
        <v>16.5</v>
      </c>
      <c r="H602" s="10">
        <v>82.5</v>
      </c>
      <c r="I602" s="10">
        <v>57</v>
      </c>
      <c r="J602" s="10">
        <v>19.5</v>
      </c>
      <c r="K602" s="10">
        <v>51</v>
      </c>
      <c r="L602" s="10">
        <v>50</v>
      </c>
      <c r="M602" s="10">
        <v>56</v>
      </c>
      <c r="N602" s="10">
        <f>B602+C602+D602+E602+F602+G602+H602+I602+J602+K602+L602+M602</f>
        <v>751.5</v>
      </c>
    </row>
    <row r="603" spans="1:14" x14ac:dyDescent="0.2">
      <c r="A603" s="17" t="s">
        <v>387</v>
      </c>
      <c r="B603" s="10">
        <v>63</v>
      </c>
      <c r="C603" s="10">
        <v>145</v>
      </c>
      <c r="D603" s="10">
        <v>149</v>
      </c>
      <c r="E603" s="10">
        <v>70</v>
      </c>
      <c r="F603" s="10">
        <v>207</v>
      </c>
      <c r="G603" s="10">
        <v>109</v>
      </c>
      <c r="H603" s="10">
        <v>31</v>
      </c>
      <c r="I603" s="10">
        <v>39.5</v>
      </c>
      <c r="J603" s="10">
        <v>134</v>
      </c>
      <c r="K603" s="10">
        <v>276</v>
      </c>
      <c r="L603" s="10">
        <v>181</v>
      </c>
      <c r="M603" s="10">
        <v>166</v>
      </c>
      <c r="N603" s="10">
        <f>B603+C603+D603+E603+F603+G603+H603+I603+J603+K603+L603+M603</f>
        <v>1570.5</v>
      </c>
    </row>
    <row r="604" spans="1:14" x14ac:dyDescent="0.2">
      <c r="A604" s="17" t="s">
        <v>388</v>
      </c>
      <c r="B604" s="10">
        <v>127</v>
      </c>
      <c r="C604" s="10">
        <v>40</v>
      </c>
      <c r="D604" s="10">
        <v>34</v>
      </c>
      <c r="E604" s="10">
        <v>13</v>
      </c>
      <c r="F604" s="10">
        <v>42</v>
      </c>
      <c r="G604" s="10">
        <v>0</v>
      </c>
      <c r="H604" s="10">
        <v>78</v>
      </c>
      <c r="I604" s="10">
        <v>0</v>
      </c>
      <c r="J604" s="10">
        <v>31</v>
      </c>
      <c r="K604" s="10">
        <v>52</v>
      </c>
      <c r="L604" s="10">
        <v>67</v>
      </c>
      <c r="M604" s="10">
        <v>68</v>
      </c>
      <c r="N604" s="10">
        <f>B604+C604+D604+E604+F604+G604+H604+I604+J604+K604+L604+M604</f>
        <v>552</v>
      </c>
    </row>
    <row r="605" spans="1:14" ht="4.95" customHeight="1" x14ac:dyDescent="0.2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</row>
    <row r="606" spans="1:14" ht="4.95" customHeight="1" x14ac:dyDescent="0.2"/>
    <row r="607" spans="1:14" x14ac:dyDescent="0.2">
      <c r="A607" s="16" t="s">
        <v>389</v>
      </c>
      <c r="B607" s="9">
        <f t="shared" ref="B607:N607" si="118">SUM(B602:B604)</f>
        <v>304</v>
      </c>
      <c r="C607" s="9">
        <f t="shared" si="118"/>
        <v>259.5</v>
      </c>
      <c r="D607" s="9">
        <f t="shared" si="118"/>
        <v>296.5</v>
      </c>
      <c r="E607" s="9">
        <f t="shared" si="118"/>
        <v>100.5</v>
      </c>
      <c r="F607" s="9">
        <f t="shared" si="118"/>
        <v>348.5</v>
      </c>
      <c r="G607" s="9">
        <f t="shared" si="118"/>
        <v>125.5</v>
      </c>
      <c r="H607" s="9">
        <f t="shared" si="118"/>
        <v>191.5</v>
      </c>
      <c r="I607" s="9">
        <f t="shared" si="118"/>
        <v>96.5</v>
      </c>
      <c r="J607" s="9">
        <f t="shared" si="118"/>
        <v>184.5</v>
      </c>
      <c r="K607" s="9">
        <f t="shared" si="118"/>
        <v>379</v>
      </c>
      <c r="L607" s="9">
        <f t="shared" si="118"/>
        <v>298</v>
      </c>
      <c r="M607" s="9">
        <f t="shared" si="118"/>
        <v>290</v>
      </c>
      <c r="N607" s="9">
        <f t="shared" si="118"/>
        <v>2874</v>
      </c>
    </row>
    <row r="608" spans="1:14" ht="4.95" customHeight="1" x14ac:dyDescent="0.2"/>
    <row r="609" spans="1:14" x14ac:dyDescent="0.2">
      <c r="A609" s="16" t="s">
        <v>390</v>
      </c>
    </row>
    <row r="610" spans="1:14" x14ac:dyDescent="0.2">
      <c r="A610" s="17" t="s">
        <v>391</v>
      </c>
      <c r="B610" s="10">
        <v>800</v>
      </c>
      <c r="C610" s="10">
        <v>985</v>
      </c>
      <c r="D610" s="10">
        <v>1135</v>
      </c>
      <c r="E610" s="10">
        <v>885</v>
      </c>
      <c r="F610" s="10">
        <v>1170</v>
      </c>
      <c r="G610" s="10">
        <v>600</v>
      </c>
      <c r="H610" s="10">
        <v>870</v>
      </c>
      <c r="I610" s="10">
        <v>415</v>
      </c>
      <c r="J610" s="10">
        <v>610</v>
      </c>
      <c r="K610" s="10">
        <v>940</v>
      </c>
      <c r="L610" s="10">
        <v>860</v>
      </c>
      <c r="M610" s="10">
        <v>640</v>
      </c>
      <c r="N610" s="10">
        <f>B610+C610+D610+E610+F610+G610+H610+I610+J610+K610+L610+M610</f>
        <v>9910</v>
      </c>
    </row>
    <row r="611" spans="1:14" ht="4.95" customHeight="1" x14ac:dyDescent="0.2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</row>
    <row r="612" spans="1:14" ht="4.95" customHeight="1" x14ac:dyDescent="0.2"/>
    <row r="613" spans="1:14" x14ac:dyDescent="0.2">
      <c r="A613" s="16" t="s">
        <v>392</v>
      </c>
      <c r="B613" s="9">
        <f t="shared" ref="B613:N613" si="119">B610</f>
        <v>800</v>
      </c>
      <c r="C613" s="9">
        <f t="shared" si="119"/>
        <v>985</v>
      </c>
      <c r="D613" s="9">
        <f t="shared" si="119"/>
        <v>1135</v>
      </c>
      <c r="E613" s="9">
        <f t="shared" si="119"/>
        <v>885</v>
      </c>
      <c r="F613" s="9">
        <f t="shared" si="119"/>
        <v>1170</v>
      </c>
      <c r="G613" s="9">
        <f t="shared" si="119"/>
        <v>600</v>
      </c>
      <c r="H613" s="9">
        <f t="shared" si="119"/>
        <v>870</v>
      </c>
      <c r="I613" s="9">
        <f t="shared" si="119"/>
        <v>415</v>
      </c>
      <c r="J613" s="9">
        <f t="shared" si="119"/>
        <v>610</v>
      </c>
      <c r="K613" s="9">
        <f t="shared" si="119"/>
        <v>940</v>
      </c>
      <c r="L613" s="9">
        <f t="shared" si="119"/>
        <v>860</v>
      </c>
      <c r="M613" s="9">
        <f t="shared" si="119"/>
        <v>640</v>
      </c>
      <c r="N613" s="9">
        <f t="shared" si="119"/>
        <v>9910</v>
      </c>
    </row>
    <row r="614" spans="1:14" ht="4.95" customHeight="1" x14ac:dyDescent="0.2"/>
    <row r="615" spans="1:14" ht="4.95" customHeight="1" x14ac:dyDescent="0.2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</row>
    <row r="616" spans="1:14" ht="4.95" customHeight="1" x14ac:dyDescent="0.2"/>
    <row r="617" spans="1:14" x14ac:dyDescent="0.2">
      <c r="A617" s="16" t="s">
        <v>393</v>
      </c>
      <c r="B617" s="9">
        <f t="shared" ref="B617:N617" si="120">B599+B607+B613</f>
        <v>5098.6000000000004</v>
      </c>
      <c r="C617" s="9">
        <f t="shared" si="120"/>
        <v>5916</v>
      </c>
      <c r="D617" s="9">
        <f t="shared" si="120"/>
        <v>7368</v>
      </c>
      <c r="E617" s="9">
        <f t="shared" si="120"/>
        <v>5474</v>
      </c>
      <c r="F617" s="9">
        <f t="shared" si="120"/>
        <v>8200.85</v>
      </c>
      <c r="G617" s="9">
        <f t="shared" si="120"/>
        <v>3795.5</v>
      </c>
      <c r="H617" s="9">
        <f t="shared" si="120"/>
        <v>5971.9</v>
      </c>
      <c r="I617" s="9">
        <f t="shared" si="120"/>
        <v>2779.5</v>
      </c>
      <c r="J617" s="9">
        <f t="shared" si="120"/>
        <v>4020.5</v>
      </c>
      <c r="K617" s="9">
        <f t="shared" si="120"/>
        <v>6707.95</v>
      </c>
      <c r="L617" s="9">
        <f t="shared" si="120"/>
        <v>5776.95</v>
      </c>
      <c r="M617" s="9">
        <f t="shared" si="120"/>
        <v>4304.45</v>
      </c>
      <c r="N617" s="9">
        <f t="shared" si="120"/>
        <v>65414.2</v>
      </c>
    </row>
    <row r="619" spans="1:14" x14ac:dyDescent="0.2">
      <c r="A619" s="16" t="s">
        <v>394</v>
      </c>
    </row>
    <row r="620" spans="1:14" x14ac:dyDescent="0.2">
      <c r="A620" s="17" t="s">
        <v>395</v>
      </c>
      <c r="B620" s="10">
        <v>1870.99</v>
      </c>
      <c r="C620" s="10">
        <v>1277.43</v>
      </c>
      <c r="D620" s="10">
        <v>1584.29</v>
      </c>
      <c r="E620" s="10">
        <v>1142.72</v>
      </c>
      <c r="F620" s="10">
        <v>1605.99</v>
      </c>
      <c r="G620" s="10">
        <v>844.35</v>
      </c>
      <c r="H620" s="10">
        <v>2049.5700000000002</v>
      </c>
      <c r="I620" s="10">
        <v>697.66</v>
      </c>
      <c r="J620" s="10">
        <v>677.4</v>
      </c>
      <c r="K620" s="10">
        <v>1590.2</v>
      </c>
      <c r="L620" s="10">
        <v>996.99</v>
      </c>
      <c r="M620" s="10">
        <v>697.69</v>
      </c>
      <c r="N620" s="10">
        <f>B620+C620+D620+E620+F620+G620+H620+I620+J620+K620+L620+M620</f>
        <v>15035.28</v>
      </c>
    </row>
    <row r="621" spans="1:14" x14ac:dyDescent="0.2">
      <c r="A621" s="17" t="s">
        <v>396</v>
      </c>
      <c r="B621" s="10">
        <v>49.09</v>
      </c>
      <c r="C621" s="10">
        <v>41.39</v>
      </c>
      <c r="D621" s="10">
        <v>51.41</v>
      </c>
      <c r="E621" s="10">
        <v>17.71</v>
      </c>
      <c r="F621" s="10">
        <v>49.99</v>
      </c>
      <c r="G621" s="10">
        <v>20.85</v>
      </c>
      <c r="H621" s="10">
        <v>30.89</v>
      </c>
      <c r="I621" s="10">
        <v>13.6</v>
      </c>
      <c r="J621" s="10">
        <v>26.35</v>
      </c>
      <c r="K621" s="10">
        <v>56.27</v>
      </c>
      <c r="L621" s="10">
        <v>43.18</v>
      </c>
      <c r="M621" s="10">
        <v>40.409999999999997</v>
      </c>
      <c r="N621" s="10">
        <f>B621+C621+D621+E621+F621+G621+H621+I621+J621+K621+L621+M621</f>
        <v>441.14</v>
      </c>
    </row>
    <row r="622" spans="1:14" ht="4.95" customHeight="1" x14ac:dyDescent="0.2"/>
    <row r="623" spans="1:14" ht="4.95" customHeight="1" x14ac:dyDescent="0.2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</row>
    <row r="624" spans="1:14" ht="4.95" customHeight="1" x14ac:dyDescent="0.2"/>
    <row r="625" spans="1:14" x14ac:dyDescent="0.2">
      <c r="A625" s="16" t="s">
        <v>397</v>
      </c>
      <c r="B625" s="9">
        <f t="shared" ref="B625:N625" si="121">SUM(B620:B621)</f>
        <v>1920.08</v>
      </c>
      <c r="C625" s="9">
        <f t="shared" si="121"/>
        <v>1318.8200000000002</v>
      </c>
      <c r="D625" s="9">
        <f t="shared" si="121"/>
        <v>1635.7</v>
      </c>
      <c r="E625" s="9">
        <f t="shared" si="121"/>
        <v>1160.43</v>
      </c>
      <c r="F625" s="9">
        <f t="shared" si="121"/>
        <v>1655.98</v>
      </c>
      <c r="G625" s="9">
        <f t="shared" si="121"/>
        <v>865.2</v>
      </c>
      <c r="H625" s="9">
        <f t="shared" si="121"/>
        <v>2080.46</v>
      </c>
      <c r="I625" s="9">
        <f t="shared" si="121"/>
        <v>711.26</v>
      </c>
      <c r="J625" s="9">
        <f t="shared" si="121"/>
        <v>703.75</v>
      </c>
      <c r="K625" s="9">
        <f t="shared" si="121"/>
        <v>1646.47</v>
      </c>
      <c r="L625" s="9">
        <f t="shared" si="121"/>
        <v>1040.17</v>
      </c>
      <c r="M625" s="9">
        <f t="shared" si="121"/>
        <v>738.1</v>
      </c>
      <c r="N625" s="9">
        <f t="shared" si="121"/>
        <v>15476.42</v>
      </c>
    </row>
    <row r="626" spans="1:14" ht="4.95" customHeight="1" x14ac:dyDescent="0.2"/>
    <row r="627" spans="1:14" x14ac:dyDescent="0.2">
      <c r="A627" s="16" t="s">
        <v>194</v>
      </c>
      <c r="B627" s="9">
        <f t="shared" ref="B627:N627" si="122">(B617)-(B625)</f>
        <v>3178.5200000000004</v>
      </c>
      <c r="C627" s="9">
        <f t="shared" si="122"/>
        <v>4597.18</v>
      </c>
      <c r="D627" s="9">
        <f t="shared" si="122"/>
        <v>5732.3</v>
      </c>
      <c r="E627" s="9">
        <f t="shared" si="122"/>
        <v>4313.57</v>
      </c>
      <c r="F627" s="9">
        <f t="shared" si="122"/>
        <v>6544.8700000000008</v>
      </c>
      <c r="G627" s="9">
        <f t="shared" si="122"/>
        <v>2930.3</v>
      </c>
      <c r="H627" s="9">
        <f t="shared" si="122"/>
        <v>3891.4399999999996</v>
      </c>
      <c r="I627" s="9">
        <f t="shared" si="122"/>
        <v>2068.2399999999998</v>
      </c>
      <c r="J627" s="9">
        <f t="shared" si="122"/>
        <v>3316.75</v>
      </c>
      <c r="K627" s="9">
        <f t="shared" si="122"/>
        <v>5061.4799999999996</v>
      </c>
      <c r="L627" s="9">
        <f t="shared" si="122"/>
        <v>4736.78</v>
      </c>
      <c r="M627" s="9">
        <f t="shared" si="122"/>
        <v>3566.35</v>
      </c>
      <c r="N627" s="9">
        <f t="shared" si="122"/>
        <v>49937.78</v>
      </c>
    </row>
    <row r="629" spans="1:14" x14ac:dyDescent="0.2">
      <c r="A629" s="16" t="s">
        <v>398</v>
      </c>
    </row>
    <row r="631" spans="1:14" x14ac:dyDescent="0.2">
      <c r="A631" s="16" t="s">
        <v>399</v>
      </c>
    </row>
    <row r="632" spans="1:14" x14ac:dyDescent="0.2">
      <c r="A632" s="16" t="s">
        <v>400</v>
      </c>
    </row>
    <row r="633" spans="1:14" x14ac:dyDescent="0.2">
      <c r="A633" s="17" t="s">
        <v>401</v>
      </c>
      <c r="B633" s="10">
        <v>1789.28</v>
      </c>
      <c r="C633" s="10">
        <v>2046.73</v>
      </c>
      <c r="D633" s="10">
        <v>1896.89</v>
      </c>
      <c r="E633" s="10">
        <v>2443.5100000000002</v>
      </c>
      <c r="F633" s="10">
        <v>2253.4</v>
      </c>
      <c r="G633" s="10">
        <v>1644.27</v>
      </c>
      <c r="H633" s="10">
        <v>1165.97</v>
      </c>
      <c r="I633" s="10">
        <v>1277.57</v>
      </c>
      <c r="J633" s="10">
        <v>1390.24</v>
      </c>
      <c r="K633" s="10">
        <v>1949.09</v>
      </c>
      <c r="L633" s="10">
        <v>2148.63</v>
      </c>
      <c r="M633" s="10">
        <v>2466.2800000000002</v>
      </c>
      <c r="N633" s="10">
        <f>B633+C633+D633+E633+F633+G633+H633+I633+J633+K633+L633+M633</f>
        <v>22471.86</v>
      </c>
    </row>
    <row r="634" spans="1:14" x14ac:dyDescent="0.2">
      <c r="A634" s="16" t="s">
        <v>402</v>
      </c>
      <c r="B634" s="9">
        <f t="shared" ref="B634:N635" si="123">B633</f>
        <v>1789.28</v>
      </c>
      <c r="C634" s="9">
        <f t="shared" si="123"/>
        <v>2046.73</v>
      </c>
      <c r="D634" s="9">
        <f t="shared" si="123"/>
        <v>1896.89</v>
      </c>
      <c r="E634" s="9">
        <f t="shared" si="123"/>
        <v>2443.5100000000002</v>
      </c>
      <c r="F634" s="9">
        <f t="shared" si="123"/>
        <v>2253.4</v>
      </c>
      <c r="G634" s="9">
        <f t="shared" si="123"/>
        <v>1644.27</v>
      </c>
      <c r="H634" s="9">
        <f t="shared" si="123"/>
        <v>1165.97</v>
      </c>
      <c r="I634" s="9">
        <f t="shared" si="123"/>
        <v>1277.57</v>
      </c>
      <c r="J634" s="9">
        <f t="shared" si="123"/>
        <v>1390.24</v>
      </c>
      <c r="K634" s="9">
        <f t="shared" si="123"/>
        <v>1949.09</v>
      </c>
      <c r="L634" s="9">
        <f t="shared" si="123"/>
        <v>2148.63</v>
      </c>
      <c r="M634" s="9">
        <f t="shared" si="123"/>
        <v>2466.2800000000002</v>
      </c>
      <c r="N634" s="9">
        <f t="shared" si="123"/>
        <v>22471.86</v>
      </c>
    </row>
    <row r="635" spans="1:14" x14ac:dyDescent="0.2">
      <c r="A635" s="16" t="s">
        <v>403</v>
      </c>
      <c r="B635" s="9">
        <f t="shared" si="123"/>
        <v>1789.28</v>
      </c>
      <c r="C635" s="9">
        <f t="shared" si="123"/>
        <v>2046.73</v>
      </c>
      <c r="D635" s="9">
        <f t="shared" si="123"/>
        <v>1896.89</v>
      </c>
      <c r="E635" s="9">
        <f t="shared" si="123"/>
        <v>2443.5100000000002</v>
      </c>
      <c r="F635" s="9">
        <f t="shared" si="123"/>
        <v>2253.4</v>
      </c>
      <c r="G635" s="9">
        <f t="shared" si="123"/>
        <v>1644.27</v>
      </c>
      <c r="H635" s="9">
        <f t="shared" si="123"/>
        <v>1165.97</v>
      </c>
      <c r="I635" s="9">
        <f t="shared" si="123"/>
        <v>1277.57</v>
      </c>
      <c r="J635" s="9">
        <f t="shared" si="123"/>
        <v>1390.24</v>
      </c>
      <c r="K635" s="9">
        <f t="shared" si="123"/>
        <v>1949.09</v>
      </c>
      <c r="L635" s="9">
        <f t="shared" si="123"/>
        <v>2148.63</v>
      </c>
      <c r="M635" s="9">
        <f t="shared" si="123"/>
        <v>2466.2800000000002</v>
      </c>
      <c r="N635" s="9">
        <f t="shared" si="123"/>
        <v>22471.86</v>
      </c>
    </row>
    <row r="637" spans="1:14" x14ac:dyDescent="0.2">
      <c r="A637" s="16" t="s">
        <v>404</v>
      </c>
    </row>
    <row r="638" spans="1:14" x14ac:dyDescent="0.2">
      <c r="A638" s="17" t="s">
        <v>405</v>
      </c>
      <c r="B638" s="10">
        <v>135.5</v>
      </c>
      <c r="C638" s="10">
        <v>174.59</v>
      </c>
      <c r="D638" s="10">
        <v>243.35</v>
      </c>
      <c r="E638" s="10">
        <v>92.53</v>
      </c>
      <c r="F638" s="10">
        <v>167.98</v>
      </c>
      <c r="G638" s="10">
        <v>131.82</v>
      </c>
      <c r="H638" s="10">
        <v>67.349999999999994</v>
      </c>
      <c r="I638" s="10">
        <v>129.22</v>
      </c>
      <c r="J638" s="10">
        <v>110.8</v>
      </c>
      <c r="K638" s="10">
        <v>136.63999999999999</v>
      </c>
      <c r="L638" s="10">
        <v>155.25</v>
      </c>
      <c r="M638" s="10">
        <v>180.84</v>
      </c>
      <c r="N638" s="10">
        <f>B638+C638+D638+E638+F638+G638+H638+I638+J638+K638+L638+M638</f>
        <v>1725.8699999999997</v>
      </c>
    </row>
    <row r="639" spans="1:14" x14ac:dyDescent="0.2">
      <c r="A639" s="17" t="s">
        <v>406</v>
      </c>
      <c r="B639" s="10">
        <v>10.210000000000001</v>
      </c>
      <c r="C639" s="10">
        <v>10.75</v>
      </c>
      <c r="D639" s="10">
        <v>9.52</v>
      </c>
      <c r="E639" s="10">
        <v>12.9</v>
      </c>
      <c r="F639" s="10">
        <v>11.63</v>
      </c>
      <c r="G639" s="10">
        <v>9.4600000000000009</v>
      </c>
      <c r="H639" s="10">
        <v>6.18</v>
      </c>
      <c r="I639" s="10">
        <v>6.51</v>
      </c>
      <c r="J639" s="10">
        <v>7.19</v>
      </c>
      <c r="K639" s="10">
        <v>9.3699999999999992</v>
      </c>
      <c r="L639" s="10">
        <v>10.09</v>
      </c>
      <c r="M639" s="10">
        <v>13.74</v>
      </c>
      <c r="N639" s="10">
        <f>B639+C639+D639+E639+F639+G639+H639+I639+J639+K639+L639+M639</f>
        <v>117.55000000000001</v>
      </c>
    </row>
    <row r="640" spans="1:14" x14ac:dyDescent="0.2">
      <c r="A640" s="17" t="s">
        <v>407</v>
      </c>
      <c r="B640" s="10">
        <v>40.22</v>
      </c>
      <c r="C640" s="10">
        <v>41.97</v>
      </c>
      <c r="D640" s="10">
        <v>27.99</v>
      </c>
      <c r="E640" s="10">
        <v>56.41</v>
      </c>
      <c r="F640" s="10">
        <v>39.57</v>
      </c>
      <c r="G640" s="10">
        <v>29.34</v>
      </c>
      <c r="H640" s="10">
        <v>17.32</v>
      </c>
      <c r="I640" s="10">
        <v>23.14</v>
      </c>
      <c r="J640" s="10">
        <v>32.090000000000003</v>
      </c>
      <c r="K640" s="10">
        <v>34.409999999999997</v>
      </c>
      <c r="L640" s="10">
        <v>37.79</v>
      </c>
      <c r="M640" s="10">
        <v>60.66</v>
      </c>
      <c r="N640" s="10">
        <f>B640+C640+D640+E640+F640+G640+H640+I640+J640+K640+L640+M640</f>
        <v>440.90999999999997</v>
      </c>
    </row>
    <row r="641" spans="1:14" x14ac:dyDescent="0.2">
      <c r="A641" s="17" t="s">
        <v>408</v>
      </c>
      <c r="B641" s="10">
        <v>0</v>
      </c>
      <c r="C641" s="10">
        <v>0</v>
      </c>
      <c r="D641" s="10">
        <v>0</v>
      </c>
      <c r="E641" s="10">
        <v>0</v>
      </c>
      <c r="F641" s="10">
        <v>1026.81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f>B641+C641+D641+E641+F641+G641+H641+I641+J641+K641+L641+M641</f>
        <v>1026.81</v>
      </c>
    </row>
    <row r="642" spans="1:14" x14ac:dyDescent="0.2">
      <c r="A642" s="16" t="s">
        <v>409</v>
      </c>
      <c r="B642" s="9">
        <f t="shared" ref="B642:N642" si="124">SUM(B638:B641)</f>
        <v>185.93</v>
      </c>
      <c r="C642" s="9">
        <f t="shared" si="124"/>
        <v>227.31</v>
      </c>
      <c r="D642" s="9">
        <f t="shared" si="124"/>
        <v>280.86</v>
      </c>
      <c r="E642" s="9">
        <f t="shared" si="124"/>
        <v>161.84</v>
      </c>
      <c r="F642" s="9">
        <f t="shared" si="124"/>
        <v>1245.99</v>
      </c>
      <c r="G642" s="9">
        <f t="shared" si="124"/>
        <v>170.62</v>
      </c>
      <c r="H642" s="9">
        <f t="shared" si="124"/>
        <v>90.85</v>
      </c>
      <c r="I642" s="9">
        <f t="shared" si="124"/>
        <v>158.87</v>
      </c>
      <c r="J642" s="9">
        <f t="shared" si="124"/>
        <v>150.07999999999998</v>
      </c>
      <c r="K642" s="9">
        <f t="shared" si="124"/>
        <v>180.42</v>
      </c>
      <c r="L642" s="9">
        <f t="shared" si="124"/>
        <v>203.13</v>
      </c>
      <c r="M642" s="9">
        <f t="shared" si="124"/>
        <v>255.24</v>
      </c>
      <c r="N642" s="9">
        <f t="shared" si="124"/>
        <v>3311.1399999999994</v>
      </c>
    </row>
    <row r="643" spans="1:14" ht="4.95" customHeight="1" x14ac:dyDescent="0.2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</row>
    <row r="644" spans="1:14" ht="4.95" customHeight="1" x14ac:dyDescent="0.2"/>
    <row r="645" spans="1:14" x14ac:dyDescent="0.2">
      <c r="A645" s="16" t="s">
        <v>410</v>
      </c>
      <c r="B645" s="9">
        <f t="shared" ref="B645:N645" si="125">B635+B642</f>
        <v>1975.21</v>
      </c>
      <c r="C645" s="9">
        <f t="shared" si="125"/>
        <v>2274.04</v>
      </c>
      <c r="D645" s="9">
        <f t="shared" si="125"/>
        <v>2177.75</v>
      </c>
      <c r="E645" s="9">
        <f t="shared" si="125"/>
        <v>2605.3500000000004</v>
      </c>
      <c r="F645" s="9">
        <f t="shared" si="125"/>
        <v>3499.3900000000003</v>
      </c>
      <c r="G645" s="9">
        <f t="shared" si="125"/>
        <v>1814.8899999999999</v>
      </c>
      <c r="H645" s="9">
        <f t="shared" si="125"/>
        <v>1256.82</v>
      </c>
      <c r="I645" s="9">
        <f t="shared" si="125"/>
        <v>1436.44</v>
      </c>
      <c r="J645" s="9">
        <f t="shared" si="125"/>
        <v>1540.32</v>
      </c>
      <c r="K645" s="9">
        <f t="shared" si="125"/>
        <v>2129.5099999999998</v>
      </c>
      <c r="L645" s="9">
        <f t="shared" si="125"/>
        <v>2351.7600000000002</v>
      </c>
      <c r="M645" s="9">
        <f t="shared" si="125"/>
        <v>2721.5200000000004</v>
      </c>
      <c r="N645" s="9">
        <f t="shared" si="125"/>
        <v>25783</v>
      </c>
    </row>
    <row r="646" spans="1:14" ht="4.95" customHeight="1" x14ac:dyDescent="0.2"/>
    <row r="647" spans="1:14" ht="4.95" customHeight="1" x14ac:dyDescent="0.2"/>
    <row r="648" spans="1:14" x14ac:dyDescent="0.2">
      <c r="A648" s="16" t="s">
        <v>411</v>
      </c>
      <c r="B648" s="9">
        <f t="shared" ref="B648:N648" si="126">B625+B645</f>
        <v>3895.29</v>
      </c>
      <c r="C648" s="9">
        <f t="shared" si="126"/>
        <v>3592.86</v>
      </c>
      <c r="D648" s="9">
        <f t="shared" si="126"/>
        <v>3813.45</v>
      </c>
      <c r="E648" s="9">
        <f t="shared" si="126"/>
        <v>3765.7800000000007</v>
      </c>
      <c r="F648" s="9">
        <f t="shared" si="126"/>
        <v>5155.3700000000008</v>
      </c>
      <c r="G648" s="9">
        <f t="shared" si="126"/>
        <v>2680.09</v>
      </c>
      <c r="H648" s="9">
        <f t="shared" si="126"/>
        <v>3337.2799999999997</v>
      </c>
      <c r="I648" s="9">
        <f t="shared" si="126"/>
        <v>2147.6999999999998</v>
      </c>
      <c r="J648" s="9">
        <f t="shared" si="126"/>
        <v>2244.0699999999997</v>
      </c>
      <c r="K648" s="9">
        <f t="shared" si="126"/>
        <v>3775.9799999999996</v>
      </c>
      <c r="L648" s="9">
        <f t="shared" si="126"/>
        <v>3391.9300000000003</v>
      </c>
      <c r="M648" s="9">
        <f t="shared" si="126"/>
        <v>3459.6200000000003</v>
      </c>
      <c r="N648" s="9">
        <f t="shared" si="126"/>
        <v>41259.42</v>
      </c>
    </row>
    <row r="649" spans="1:14" ht="4.95" customHeight="1" x14ac:dyDescent="0.2"/>
    <row r="650" spans="1:14" x14ac:dyDescent="0.2">
      <c r="A650" s="7" t="s">
        <v>412</v>
      </c>
      <c r="B650" s="9">
        <f t="shared" ref="B650:N650" si="127">B617-B648</f>
        <v>1203.3100000000004</v>
      </c>
      <c r="C650" s="9">
        <f t="shared" si="127"/>
        <v>2323.14</v>
      </c>
      <c r="D650" s="9">
        <f t="shared" si="127"/>
        <v>3554.55</v>
      </c>
      <c r="E650" s="9">
        <f t="shared" si="127"/>
        <v>1708.2199999999993</v>
      </c>
      <c r="F650" s="9">
        <f t="shared" si="127"/>
        <v>3045.4799999999996</v>
      </c>
      <c r="G650" s="9">
        <f t="shared" si="127"/>
        <v>1115.4099999999999</v>
      </c>
      <c r="H650" s="9">
        <f t="shared" si="127"/>
        <v>2634.62</v>
      </c>
      <c r="I650" s="9">
        <f t="shared" si="127"/>
        <v>631.80000000000018</v>
      </c>
      <c r="J650" s="9">
        <f t="shared" si="127"/>
        <v>1776.4300000000003</v>
      </c>
      <c r="K650" s="9">
        <f t="shared" si="127"/>
        <v>2931.9700000000003</v>
      </c>
      <c r="L650" s="9">
        <f t="shared" si="127"/>
        <v>2385.0199999999995</v>
      </c>
      <c r="M650" s="9">
        <f t="shared" si="127"/>
        <v>844.82999999999947</v>
      </c>
      <c r="N650" s="9">
        <f t="shared" si="127"/>
        <v>24154.78</v>
      </c>
    </row>
    <row r="651" spans="1:14" ht="4.95" customHeight="1" x14ac:dyDescent="0.2"/>
    <row r="652" spans="1:14" x14ac:dyDescent="0.2">
      <c r="A652" s="16" t="s">
        <v>378</v>
      </c>
    </row>
    <row r="653" spans="1:14" x14ac:dyDescent="0.2">
      <c r="A653" s="16" t="s">
        <v>413</v>
      </c>
    </row>
    <row r="654" spans="1:14" x14ac:dyDescent="0.2">
      <c r="A654" s="17" t="s">
        <v>414</v>
      </c>
      <c r="B654" s="18">
        <v>25</v>
      </c>
      <c r="C654" s="18">
        <v>28</v>
      </c>
      <c r="D654" s="18">
        <v>37</v>
      </c>
      <c r="E654" s="18">
        <v>17</v>
      </c>
      <c r="F654" s="18">
        <v>68</v>
      </c>
      <c r="G654" s="18">
        <v>33</v>
      </c>
      <c r="H654" s="18">
        <v>27</v>
      </c>
      <c r="I654" s="18">
        <v>13</v>
      </c>
      <c r="J654" s="18">
        <v>15</v>
      </c>
      <c r="K654" s="18">
        <v>34</v>
      </c>
      <c r="L654" s="18">
        <v>30</v>
      </c>
      <c r="M654" s="18">
        <v>11</v>
      </c>
      <c r="N654" s="18">
        <f t="shared" ref="N654:N659" si="128">B654+C654+D654+E654+F654+G654+H654+I654+J654+K654+L654+M654</f>
        <v>338</v>
      </c>
    </row>
    <row r="655" spans="1:14" x14ac:dyDescent="0.2">
      <c r="A655" s="17" t="s">
        <v>415</v>
      </c>
      <c r="B655" s="10">
        <v>22.96</v>
      </c>
      <c r="C655" s="10">
        <v>21.11</v>
      </c>
      <c r="D655" s="10">
        <v>28.01</v>
      </c>
      <c r="E655" s="10">
        <v>25.12</v>
      </c>
      <c r="F655" s="10">
        <v>16.66</v>
      </c>
      <c r="G655" s="10">
        <v>24.09</v>
      </c>
      <c r="H655" s="10">
        <v>24.63</v>
      </c>
      <c r="I655" s="10">
        <v>35.380000000000003</v>
      </c>
      <c r="J655" s="10">
        <v>23.67</v>
      </c>
      <c r="K655" s="10">
        <v>23.94</v>
      </c>
      <c r="L655" s="10">
        <v>23.47</v>
      </c>
      <c r="M655" s="10">
        <v>37.630000000000003</v>
      </c>
      <c r="N655" s="10">
        <f t="shared" si="128"/>
        <v>306.66999999999996</v>
      </c>
    </row>
    <row r="656" spans="1:14" x14ac:dyDescent="0.2">
      <c r="A656" s="17" t="s">
        <v>416</v>
      </c>
      <c r="B656" s="18">
        <v>115</v>
      </c>
      <c r="C656" s="18">
        <v>153</v>
      </c>
      <c r="D656" s="18">
        <v>181</v>
      </c>
      <c r="E656" s="18">
        <v>146</v>
      </c>
      <c r="F656" s="18">
        <v>157</v>
      </c>
      <c r="G656" s="18">
        <v>71</v>
      </c>
      <c r="H656" s="18">
        <v>138</v>
      </c>
      <c r="I656" s="18">
        <v>65</v>
      </c>
      <c r="J656" s="18">
        <v>111</v>
      </c>
      <c r="K656" s="18">
        <v>138</v>
      </c>
      <c r="L656" s="18">
        <v>141</v>
      </c>
      <c r="M656" s="18">
        <v>105</v>
      </c>
      <c r="N656" s="18">
        <f t="shared" si="128"/>
        <v>1521</v>
      </c>
    </row>
    <row r="657" spans="1:14" x14ac:dyDescent="0.2">
      <c r="A657" s="17" t="s">
        <v>417</v>
      </c>
      <c r="B657" s="10">
        <v>25.97</v>
      </c>
      <c r="C657" s="10">
        <v>22.92</v>
      </c>
      <c r="D657" s="10">
        <v>24.71</v>
      </c>
      <c r="E657" s="10">
        <v>24.39</v>
      </c>
      <c r="F657" s="10">
        <v>28.24</v>
      </c>
      <c r="G657" s="10">
        <v>25.14</v>
      </c>
      <c r="H657" s="10">
        <v>25.62</v>
      </c>
      <c r="I657" s="10">
        <v>24.63</v>
      </c>
      <c r="J657" s="10">
        <v>24.32</v>
      </c>
      <c r="K657" s="10">
        <v>27.46</v>
      </c>
      <c r="L657" s="10">
        <v>25.36</v>
      </c>
      <c r="M657" s="10">
        <v>25.72</v>
      </c>
      <c r="N657" s="10">
        <f t="shared" si="128"/>
        <v>304.48</v>
      </c>
    </row>
    <row r="658" spans="1:14" x14ac:dyDescent="0.2">
      <c r="A658" s="17" t="s">
        <v>418</v>
      </c>
      <c r="B658" s="18">
        <v>17</v>
      </c>
      <c r="C658" s="18">
        <v>26</v>
      </c>
      <c r="D658" s="18">
        <v>23</v>
      </c>
      <c r="E658" s="18">
        <v>21</v>
      </c>
      <c r="F658" s="18">
        <v>32</v>
      </c>
      <c r="G658" s="18">
        <v>21</v>
      </c>
      <c r="H658" s="18">
        <v>24</v>
      </c>
      <c r="I658" s="18">
        <v>10</v>
      </c>
      <c r="J658" s="18">
        <v>8</v>
      </c>
      <c r="K658" s="18">
        <v>23</v>
      </c>
      <c r="L658" s="18">
        <v>9</v>
      </c>
      <c r="M658" s="18">
        <v>10</v>
      </c>
      <c r="N658" s="18">
        <f t="shared" si="128"/>
        <v>224</v>
      </c>
    </row>
    <row r="659" spans="1:14" x14ac:dyDescent="0.2">
      <c r="A659" s="17" t="s">
        <v>419</v>
      </c>
      <c r="B659" s="10">
        <v>25.5</v>
      </c>
      <c r="C659" s="10">
        <v>22.04</v>
      </c>
      <c r="D659" s="10">
        <v>18.57</v>
      </c>
      <c r="E659" s="10">
        <v>23.81</v>
      </c>
      <c r="F659" s="10">
        <v>34.86</v>
      </c>
      <c r="G659" s="10">
        <v>23.33</v>
      </c>
      <c r="H659" s="10">
        <v>29.58</v>
      </c>
      <c r="I659" s="10">
        <v>20.7</v>
      </c>
      <c r="J659" s="10">
        <v>21.5</v>
      </c>
      <c r="K659" s="10">
        <v>34.17</v>
      </c>
      <c r="L659" s="10">
        <v>37.67</v>
      </c>
      <c r="M659" s="10">
        <v>26</v>
      </c>
      <c r="N659" s="10">
        <f t="shared" si="128"/>
        <v>317.73</v>
      </c>
    </row>
    <row r="660" spans="1:14" ht="4.95" customHeight="1" x14ac:dyDescent="0.2"/>
    <row r="661" spans="1:14" ht="4.95" customHeight="1" x14ac:dyDescent="0.2"/>
    <row r="662" spans="1:14" ht="4.95" customHeight="1" x14ac:dyDescent="0.2"/>
    <row r="663" spans="1:14" x14ac:dyDescent="0.2">
      <c r="A663" s="16" t="s">
        <v>420</v>
      </c>
    </row>
    <row r="665" spans="1:14" x14ac:dyDescent="0.2">
      <c r="A665" s="16" t="s">
        <v>421</v>
      </c>
    </row>
    <row r="666" spans="1:14" x14ac:dyDescent="0.2">
      <c r="A666" s="17" t="s">
        <v>422</v>
      </c>
      <c r="B666" s="10">
        <v>5516.75</v>
      </c>
      <c r="C666" s="10">
        <v>7012.54</v>
      </c>
      <c r="D666" s="10">
        <v>5577.66</v>
      </c>
      <c r="E666" s="10">
        <v>6880.26</v>
      </c>
      <c r="F666" s="10">
        <v>8058.72</v>
      </c>
      <c r="G666" s="10">
        <v>7392.27</v>
      </c>
      <c r="H666" s="10">
        <v>7624.4</v>
      </c>
      <c r="I666" s="10">
        <v>5545.29</v>
      </c>
      <c r="J666" s="10">
        <v>4874.68</v>
      </c>
      <c r="K666" s="10">
        <v>5411.29</v>
      </c>
      <c r="L666" s="10">
        <v>8198.77</v>
      </c>
      <c r="M666" s="10">
        <v>6985.19</v>
      </c>
      <c r="N666" s="10">
        <f>B666+C666+D666+E666+F666+G666+H666+I666+J666+K666+L666+M666</f>
        <v>79077.820000000007</v>
      </c>
    </row>
    <row r="667" spans="1:14" ht="4.95" customHeight="1" x14ac:dyDescent="0.2"/>
    <row r="668" spans="1:14" ht="4.95" customHeight="1" x14ac:dyDescent="0.2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</row>
    <row r="669" spans="1:14" ht="4.95" customHeight="1" x14ac:dyDescent="0.2"/>
    <row r="670" spans="1:14" x14ac:dyDescent="0.2">
      <c r="A670" s="16" t="s">
        <v>423</v>
      </c>
      <c r="B670" s="9">
        <f t="shared" ref="B670:N670" si="129">B666</f>
        <v>5516.75</v>
      </c>
      <c r="C670" s="9">
        <f t="shared" si="129"/>
        <v>7012.54</v>
      </c>
      <c r="D670" s="9">
        <f t="shared" si="129"/>
        <v>5577.66</v>
      </c>
      <c r="E670" s="9">
        <f t="shared" si="129"/>
        <v>6880.26</v>
      </c>
      <c r="F670" s="9">
        <f t="shared" si="129"/>
        <v>8058.72</v>
      </c>
      <c r="G670" s="9">
        <f t="shared" si="129"/>
        <v>7392.27</v>
      </c>
      <c r="H670" s="9">
        <f t="shared" si="129"/>
        <v>7624.4</v>
      </c>
      <c r="I670" s="9">
        <f t="shared" si="129"/>
        <v>5545.29</v>
      </c>
      <c r="J670" s="9">
        <f t="shared" si="129"/>
        <v>4874.68</v>
      </c>
      <c r="K670" s="9">
        <f t="shared" si="129"/>
        <v>5411.29</v>
      </c>
      <c r="L670" s="9">
        <f t="shared" si="129"/>
        <v>8198.77</v>
      </c>
      <c r="M670" s="9">
        <f t="shared" si="129"/>
        <v>6985.19</v>
      </c>
      <c r="N670" s="9">
        <f t="shared" si="129"/>
        <v>79077.820000000007</v>
      </c>
    </row>
    <row r="672" spans="1:14" x14ac:dyDescent="0.2">
      <c r="A672" s="16" t="s">
        <v>424</v>
      </c>
    </row>
    <row r="673" spans="1:14" x14ac:dyDescent="0.2">
      <c r="A673" s="17" t="s">
        <v>425</v>
      </c>
      <c r="B673" s="10">
        <v>524.66</v>
      </c>
      <c r="C673" s="10">
        <v>1337.49</v>
      </c>
      <c r="D673" s="10">
        <v>5083.01</v>
      </c>
      <c r="E673" s="10">
        <v>3871.77</v>
      </c>
      <c r="F673" s="10">
        <v>230.48</v>
      </c>
      <c r="G673" s="10">
        <v>3871.53</v>
      </c>
      <c r="H673" s="10">
        <v>4338.95</v>
      </c>
      <c r="I673" s="10">
        <v>0</v>
      </c>
      <c r="J673" s="10">
        <v>1880.39</v>
      </c>
      <c r="K673" s="10">
        <v>1705.41</v>
      </c>
      <c r="L673" s="10">
        <v>2592.92</v>
      </c>
      <c r="M673" s="10">
        <v>668.26</v>
      </c>
      <c r="N673" s="10">
        <f>B673+C673+D673+E673+F673+G673+H673+I673+J673+K673+L673+M673</f>
        <v>26104.87</v>
      </c>
    </row>
    <row r="674" spans="1:14" x14ac:dyDescent="0.2">
      <c r="A674" s="17" t="s">
        <v>426</v>
      </c>
      <c r="B674" s="10">
        <v>753</v>
      </c>
      <c r="C674" s="10">
        <v>896.43</v>
      </c>
      <c r="D674" s="10">
        <v>-2494.7800000000002</v>
      </c>
      <c r="E674" s="10">
        <v>-2017.55</v>
      </c>
      <c r="F674" s="10">
        <v>1523.96</v>
      </c>
      <c r="G674" s="10">
        <v>709.65</v>
      </c>
      <c r="H674" s="10">
        <v>-1503.46</v>
      </c>
      <c r="I674" s="10">
        <v>1951.42</v>
      </c>
      <c r="J674" s="10">
        <v>-1206.8900000000001</v>
      </c>
      <c r="K674" s="10">
        <v>436.55</v>
      </c>
      <c r="L674" s="10">
        <v>-165.23</v>
      </c>
      <c r="M674" s="10">
        <v>1753.67</v>
      </c>
      <c r="N674" s="10">
        <f>B674+C674+D674+E674+F674+G674+H674+I674+J674+K674+L674+M674</f>
        <v>636.76999999999953</v>
      </c>
    </row>
    <row r="675" spans="1:14" ht="4.95" customHeight="1" x14ac:dyDescent="0.2"/>
    <row r="676" spans="1:14" ht="4.95" customHeight="1" x14ac:dyDescent="0.2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</row>
    <row r="677" spans="1:14" ht="4.95" customHeight="1" x14ac:dyDescent="0.2"/>
    <row r="678" spans="1:14" x14ac:dyDescent="0.2">
      <c r="A678" s="16" t="s">
        <v>427</v>
      </c>
      <c r="B678" s="9">
        <f t="shared" ref="B678:N678" si="130">SUM(B673:B674)</f>
        <v>1277.6599999999999</v>
      </c>
      <c r="C678" s="9">
        <f t="shared" si="130"/>
        <v>2233.92</v>
      </c>
      <c r="D678" s="9">
        <f t="shared" si="130"/>
        <v>2588.23</v>
      </c>
      <c r="E678" s="9">
        <f t="shared" si="130"/>
        <v>1854.22</v>
      </c>
      <c r="F678" s="9">
        <f t="shared" si="130"/>
        <v>1754.44</v>
      </c>
      <c r="G678" s="9">
        <f t="shared" si="130"/>
        <v>4581.18</v>
      </c>
      <c r="H678" s="9">
        <f t="shared" si="130"/>
        <v>2835.49</v>
      </c>
      <c r="I678" s="9">
        <f t="shared" si="130"/>
        <v>1951.42</v>
      </c>
      <c r="J678" s="9">
        <f t="shared" si="130"/>
        <v>673.5</v>
      </c>
      <c r="K678" s="9">
        <f t="shared" si="130"/>
        <v>2141.96</v>
      </c>
      <c r="L678" s="9">
        <f t="shared" si="130"/>
        <v>2427.69</v>
      </c>
      <c r="M678" s="9">
        <f t="shared" si="130"/>
        <v>2421.9300000000003</v>
      </c>
      <c r="N678" s="9">
        <f t="shared" si="130"/>
        <v>26741.64</v>
      </c>
    </row>
    <row r="679" spans="1:14" ht="4.95" customHeight="1" x14ac:dyDescent="0.2"/>
    <row r="680" spans="1:14" x14ac:dyDescent="0.2">
      <c r="A680" s="16" t="s">
        <v>194</v>
      </c>
      <c r="B680" s="9">
        <f t="shared" ref="B680:N680" si="131">(B670)-(B678)</f>
        <v>4239.09</v>
      </c>
      <c r="C680" s="9">
        <f t="shared" si="131"/>
        <v>4778.62</v>
      </c>
      <c r="D680" s="9">
        <f t="shared" si="131"/>
        <v>2989.43</v>
      </c>
      <c r="E680" s="9">
        <f t="shared" si="131"/>
        <v>5026.04</v>
      </c>
      <c r="F680" s="9">
        <f t="shared" si="131"/>
        <v>6304.2800000000007</v>
      </c>
      <c r="G680" s="9">
        <f t="shared" si="131"/>
        <v>2811.09</v>
      </c>
      <c r="H680" s="9">
        <f t="shared" si="131"/>
        <v>4788.91</v>
      </c>
      <c r="I680" s="9">
        <f t="shared" si="131"/>
        <v>3593.87</v>
      </c>
      <c r="J680" s="9">
        <f t="shared" si="131"/>
        <v>4201.18</v>
      </c>
      <c r="K680" s="9">
        <f t="shared" si="131"/>
        <v>3269.33</v>
      </c>
      <c r="L680" s="9">
        <f t="shared" si="131"/>
        <v>5771.08</v>
      </c>
      <c r="M680" s="9">
        <f t="shared" si="131"/>
        <v>4563.2599999999993</v>
      </c>
      <c r="N680" s="9">
        <f t="shared" si="131"/>
        <v>52336.180000000008</v>
      </c>
    </row>
    <row r="682" spans="1:14" ht="4.95" customHeight="1" x14ac:dyDescent="0.2"/>
    <row r="683" spans="1:14" x14ac:dyDescent="0.2">
      <c r="A683" s="16" t="s">
        <v>428</v>
      </c>
      <c r="B683" s="9">
        <f t="shared" ref="B683:N683" si="132">B678</f>
        <v>1277.6599999999999</v>
      </c>
      <c r="C683" s="9">
        <f t="shared" si="132"/>
        <v>2233.92</v>
      </c>
      <c r="D683" s="9">
        <f t="shared" si="132"/>
        <v>2588.23</v>
      </c>
      <c r="E683" s="9">
        <f t="shared" si="132"/>
        <v>1854.22</v>
      </c>
      <c r="F683" s="9">
        <f t="shared" si="132"/>
        <v>1754.44</v>
      </c>
      <c r="G683" s="9">
        <f t="shared" si="132"/>
        <v>4581.18</v>
      </c>
      <c r="H683" s="9">
        <f t="shared" si="132"/>
        <v>2835.49</v>
      </c>
      <c r="I683" s="9">
        <f t="shared" si="132"/>
        <v>1951.42</v>
      </c>
      <c r="J683" s="9">
        <f t="shared" si="132"/>
        <v>673.5</v>
      </c>
      <c r="K683" s="9">
        <f t="shared" si="132"/>
        <v>2141.96</v>
      </c>
      <c r="L683" s="9">
        <f t="shared" si="132"/>
        <v>2427.69</v>
      </c>
      <c r="M683" s="9">
        <f t="shared" si="132"/>
        <v>2421.9300000000003</v>
      </c>
      <c r="N683" s="9">
        <f t="shared" si="132"/>
        <v>26741.64</v>
      </c>
    </row>
    <row r="684" spans="1:14" ht="4.95" customHeight="1" x14ac:dyDescent="0.2"/>
    <row r="685" spans="1:14" x14ac:dyDescent="0.2">
      <c r="A685" s="7" t="s">
        <v>429</v>
      </c>
      <c r="B685" s="9">
        <f t="shared" ref="B685:N685" si="133">B670-B683</f>
        <v>4239.09</v>
      </c>
      <c r="C685" s="9">
        <f t="shared" si="133"/>
        <v>4778.62</v>
      </c>
      <c r="D685" s="9">
        <f t="shared" si="133"/>
        <v>2989.43</v>
      </c>
      <c r="E685" s="9">
        <f t="shared" si="133"/>
        <v>5026.04</v>
      </c>
      <c r="F685" s="9">
        <f t="shared" si="133"/>
        <v>6304.2800000000007</v>
      </c>
      <c r="G685" s="9">
        <f t="shared" si="133"/>
        <v>2811.09</v>
      </c>
      <c r="H685" s="9">
        <f t="shared" si="133"/>
        <v>4788.91</v>
      </c>
      <c r="I685" s="9">
        <f t="shared" si="133"/>
        <v>3593.87</v>
      </c>
      <c r="J685" s="9">
        <f t="shared" si="133"/>
        <v>4201.18</v>
      </c>
      <c r="K685" s="9">
        <f t="shared" si="133"/>
        <v>3269.33</v>
      </c>
      <c r="L685" s="9">
        <f t="shared" si="133"/>
        <v>5771.08</v>
      </c>
      <c r="M685" s="9">
        <f t="shared" si="133"/>
        <v>4563.2599999999993</v>
      </c>
      <c r="N685" s="9">
        <f t="shared" si="133"/>
        <v>52336.180000000008</v>
      </c>
    </row>
    <row r="686" spans="1:14" ht="4.95" customHeight="1" x14ac:dyDescent="0.2"/>
    <row r="687" spans="1:14" x14ac:dyDescent="0.2">
      <c r="A687" s="16" t="s">
        <v>430</v>
      </c>
    </row>
    <row r="689" spans="1:14" x14ac:dyDescent="0.2">
      <c r="A689" s="16" t="s">
        <v>431</v>
      </c>
    </row>
    <row r="690" spans="1:14" x14ac:dyDescent="0.2">
      <c r="A690" s="17" t="s">
        <v>432</v>
      </c>
      <c r="B690" s="10">
        <v>121</v>
      </c>
      <c r="C690" s="10">
        <v>598.20000000000005</v>
      </c>
      <c r="D690" s="10">
        <v>1541.25</v>
      </c>
      <c r="E690" s="10">
        <v>873.55</v>
      </c>
      <c r="F690" s="10">
        <v>853</v>
      </c>
      <c r="G690" s="10">
        <v>646</v>
      </c>
      <c r="H690" s="10">
        <v>187.25</v>
      </c>
      <c r="I690" s="10">
        <v>56.16</v>
      </c>
      <c r="J690" s="10">
        <v>826.46</v>
      </c>
      <c r="K690" s="10">
        <v>681.05</v>
      </c>
      <c r="L690" s="10">
        <v>387</v>
      </c>
      <c r="M690" s="10">
        <v>342.3</v>
      </c>
      <c r="N690" s="10">
        <f>B690+C690+D690+E690+F690+G690+H690+I690+J690+K690+L690+M690</f>
        <v>7113.22</v>
      </c>
    </row>
    <row r="691" spans="1:14" x14ac:dyDescent="0.2">
      <c r="A691" s="17" t="s">
        <v>433</v>
      </c>
      <c r="B691" s="10">
        <v>704.39</v>
      </c>
      <c r="C691" s="10">
        <v>397.09</v>
      </c>
      <c r="D691" s="10">
        <v>1165.3399999999999</v>
      </c>
      <c r="E691" s="10">
        <v>696.79</v>
      </c>
      <c r="F691" s="10">
        <v>1234.5899999999999</v>
      </c>
      <c r="G691" s="10">
        <v>550.72</v>
      </c>
      <c r="H691" s="10">
        <v>513.94000000000005</v>
      </c>
      <c r="I691" s="10">
        <v>420.86</v>
      </c>
      <c r="J691" s="10">
        <v>293.25</v>
      </c>
      <c r="K691" s="10">
        <v>449.03</v>
      </c>
      <c r="L691" s="10">
        <v>345.17</v>
      </c>
      <c r="M691" s="10">
        <v>313.76</v>
      </c>
      <c r="N691" s="10">
        <f>B691+C691+D691+E691+F691+G691+H691+I691+J691+K691+L691+M691</f>
        <v>7084.93</v>
      </c>
    </row>
    <row r="692" spans="1:14" x14ac:dyDescent="0.2">
      <c r="A692" s="17" t="s">
        <v>434</v>
      </c>
      <c r="B692" s="10">
        <v>78339.570000000007</v>
      </c>
      <c r="C692" s="10">
        <v>97711.39</v>
      </c>
      <c r="D692" s="10">
        <v>119137.91</v>
      </c>
      <c r="E692" s="10">
        <v>85540.66</v>
      </c>
      <c r="F692" s="10">
        <v>113831.03999999999</v>
      </c>
      <c r="G692" s="10">
        <v>84867.56</v>
      </c>
      <c r="H692" s="10">
        <v>155899.47</v>
      </c>
      <c r="I692" s="10">
        <v>115013.36</v>
      </c>
      <c r="J692" s="10">
        <v>29186.04</v>
      </c>
      <c r="K692" s="10">
        <v>91038.83</v>
      </c>
      <c r="L692" s="10">
        <v>101229.97</v>
      </c>
      <c r="M692" s="10">
        <v>87569.66</v>
      </c>
      <c r="N692" s="10">
        <f>B692+C692+D692+E692+F692+G692+H692+I692+J692+K692+L692+M692</f>
        <v>1159365.46</v>
      </c>
    </row>
    <row r="693" spans="1:14" ht="4.95" customHeight="1" x14ac:dyDescent="0.2"/>
    <row r="694" spans="1:14" ht="4.95" customHeight="1" x14ac:dyDescent="0.2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</row>
    <row r="695" spans="1:14" ht="4.95" customHeight="1" x14ac:dyDescent="0.2"/>
    <row r="696" spans="1:14" x14ac:dyDescent="0.2">
      <c r="A696" s="16" t="s">
        <v>435</v>
      </c>
      <c r="B696" s="9">
        <f t="shared" ref="B696:N696" si="134">SUM(B690:B692)</f>
        <v>79164.960000000006</v>
      </c>
      <c r="C696" s="9">
        <f t="shared" si="134"/>
        <v>98706.68</v>
      </c>
      <c r="D696" s="9">
        <f t="shared" si="134"/>
        <v>121844.5</v>
      </c>
      <c r="E696" s="9">
        <f t="shared" si="134"/>
        <v>87111</v>
      </c>
      <c r="F696" s="9">
        <f t="shared" si="134"/>
        <v>115918.62999999999</v>
      </c>
      <c r="G696" s="9">
        <f t="shared" si="134"/>
        <v>86064.28</v>
      </c>
      <c r="H696" s="9">
        <f t="shared" si="134"/>
        <v>156600.66</v>
      </c>
      <c r="I696" s="9">
        <f t="shared" si="134"/>
        <v>115490.38</v>
      </c>
      <c r="J696" s="9">
        <f t="shared" si="134"/>
        <v>30305.75</v>
      </c>
      <c r="K696" s="9">
        <f t="shared" si="134"/>
        <v>92168.91</v>
      </c>
      <c r="L696" s="9">
        <f t="shared" si="134"/>
        <v>101962.14</v>
      </c>
      <c r="M696" s="9">
        <f t="shared" si="134"/>
        <v>88225.72</v>
      </c>
      <c r="N696" s="9">
        <f t="shared" si="134"/>
        <v>1173563.6099999999</v>
      </c>
    </row>
    <row r="698" spans="1:14" x14ac:dyDescent="0.2">
      <c r="A698" s="16" t="s">
        <v>436</v>
      </c>
    </row>
    <row r="699" spans="1:14" x14ac:dyDescent="0.2">
      <c r="A699" s="17" t="s">
        <v>437</v>
      </c>
      <c r="B699" s="10">
        <v>92.3</v>
      </c>
      <c r="C699" s="10">
        <v>226.35</v>
      </c>
      <c r="D699" s="10">
        <v>886.93</v>
      </c>
      <c r="E699" s="10">
        <v>488.15</v>
      </c>
      <c r="F699" s="10">
        <v>547.95000000000005</v>
      </c>
      <c r="G699" s="10">
        <v>571.79999999999995</v>
      </c>
      <c r="H699" s="10">
        <v>86.46</v>
      </c>
      <c r="I699" s="10">
        <v>33.51</v>
      </c>
      <c r="J699" s="10">
        <v>596.1</v>
      </c>
      <c r="K699" s="10">
        <v>352.54</v>
      </c>
      <c r="L699" s="10">
        <v>265.39</v>
      </c>
      <c r="M699" s="10">
        <v>176.15</v>
      </c>
      <c r="N699" s="10">
        <f>B699+C699+D699+E699+F699+G699+H699+I699+J699+K699+L699+M699</f>
        <v>4323.63</v>
      </c>
    </row>
    <row r="700" spans="1:14" x14ac:dyDescent="0.2">
      <c r="A700" s="17" t="s">
        <v>438</v>
      </c>
      <c r="B700" s="10">
        <v>700.58</v>
      </c>
      <c r="C700" s="10">
        <v>410.77</v>
      </c>
      <c r="D700" s="10">
        <v>1044.3900000000001</v>
      </c>
      <c r="E700" s="10">
        <v>620.63</v>
      </c>
      <c r="F700" s="10">
        <v>2000.44</v>
      </c>
      <c r="G700" s="10">
        <v>736.82</v>
      </c>
      <c r="H700" s="10">
        <v>496.76</v>
      </c>
      <c r="I700" s="10">
        <v>336.54</v>
      </c>
      <c r="J700" s="10">
        <v>366.41</v>
      </c>
      <c r="K700" s="10">
        <v>391.4</v>
      </c>
      <c r="L700" s="10">
        <v>339.23</v>
      </c>
      <c r="M700" s="10">
        <v>304.39999999999998</v>
      </c>
      <c r="N700" s="10">
        <f>B700+C700+D700+E700+F700+G700+H700+I700+J700+K700+L700+M700</f>
        <v>7748.369999999999</v>
      </c>
    </row>
    <row r="701" spans="1:14" x14ac:dyDescent="0.2">
      <c r="A701" s="17" t="s">
        <v>439</v>
      </c>
      <c r="B701" s="10">
        <v>11425.07</v>
      </c>
      <c r="C701" s="10">
        <v>12028.51</v>
      </c>
      <c r="D701" s="10">
        <v>12120</v>
      </c>
      <c r="E701" s="10">
        <v>20350.939999999999</v>
      </c>
      <c r="F701" s="10">
        <v>13695.63</v>
      </c>
      <c r="G701" s="10">
        <v>9704.0400000000009</v>
      </c>
      <c r="H701" s="10">
        <v>16097.28</v>
      </c>
      <c r="I701" s="10">
        <v>11040.99</v>
      </c>
      <c r="J701" s="10">
        <v>9955.31</v>
      </c>
      <c r="K701" s="10">
        <v>9958.75</v>
      </c>
      <c r="L701" s="10">
        <v>9142.86</v>
      </c>
      <c r="M701" s="10">
        <v>11054.16</v>
      </c>
      <c r="N701" s="10">
        <f>B701+C701+D701+E701+F701+G701+H701+I701+J701+K701+L701+M701</f>
        <v>146573.54</v>
      </c>
    </row>
    <row r="702" spans="1:14" x14ac:dyDescent="0.2">
      <c r="A702" s="17" t="s">
        <v>440</v>
      </c>
      <c r="B702" s="10">
        <v>0</v>
      </c>
      <c r="C702" s="10">
        <v>35.700000000000003</v>
      </c>
      <c r="D702" s="10">
        <v>34.619999999999997</v>
      </c>
      <c r="E702" s="10">
        <v>0</v>
      </c>
      <c r="F702" s="10">
        <v>0</v>
      </c>
      <c r="G702" s="10">
        <v>0</v>
      </c>
      <c r="H702" s="10">
        <v>0</v>
      </c>
      <c r="I702" s="10">
        <v>0</v>
      </c>
      <c r="J702" s="10">
        <v>47.6</v>
      </c>
      <c r="K702" s="10">
        <v>0</v>
      </c>
      <c r="L702" s="10">
        <v>0</v>
      </c>
      <c r="M702" s="10">
        <v>0</v>
      </c>
      <c r="N702" s="10">
        <f>B702+C702+D702+E702+F702+G702+H702+I702+J702+K702+L702+M702</f>
        <v>117.91999999999999</v>
      </c>
    </row>
    <row r="703" spans="1:14" ht="4.95" customHeight="1" x14ac:dyDescent="0.2"/>
    <row r="704" spans="1:14" ht="4.95" customHeight="1" x14ac:dyDescent="0.2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</row>
    <row r="705" spans="1:14" ht="4.95" customHeight="1" x14ac:dyDescent="0.2"/>
    <row r="706" spans="1:14" x14ac:dyDescent="0.2">
      <c r="A706" s="16" t="s">
        <v>441</v>
      </c>
      <c r="B706" s="9">
        <f t="shared" ref="B706:N706" si="135">SUM(B699:B702)</f>
        <v>12217.949999999999</v>
      </c>
      <c r="C706" s="9">
        <f t="shared" si="135"/>
        <v>12701.330000000002</v>
      </c>
      <c r="D706" s="9">
        <f t="shared" si="135"/>
        <v>14085.94</v>
      </c>
      <c r="E706" s="9">
        <f t="shared" si="135"/>
        <v>21459.719999999998</v>
      </c>
      <c r="F706" s="9">
        <f t="shared" si="135"/>
        <v>16244.02</v>
      </c>
      <c r="G706" s="9">
        <f t="shared" si="135"/>
        <v>11012.66</v>
      </c>
      <c r="H706" s="9">
        <f t="shared" si="135"/>
        <v>16680.5</v>
      </c>
      <c r="I706" s="9">
        <f t="shared" si="135"/>
        <v>11411.039999999999</v>
      </c>
      <c r="J706" s="9">
        <f t="shared" si="135"/>
        <v>10965.42</v>
      </c>
      <c r="K706" s="9">
        <f t="shared" si="135"/>
        <v>10702.69</v>
      </c>
      <c r="L706" s="9">
        <f t="shared" si="135"/>
        <v>9747.4800000000014</v>
      </c>
      <c r="M706" s="9">
        <f t="shared" si="135"/>
        <v>11534.71</v>
      </c>
      <c r="N706" s="9">
        <f t="shared" si="135"/>
        <v>158763.46000000002</v>
      </c>
    </row>
    <row r="707" spans="1:14" ht="4.95" customHeight="1" x14ac:dyDescent="0.2"/>
    <row r="709" spans="1:14" x14ac:dyDescent="0.2">
      <c r="A709" s="16" t="s">
        <v>442</v>
      </c>
    </row>
    <row r="710" spans="1:14" x14ac:dyDescent="0.2">
      <c r="A710" s="16" t="s">
        <v>443</v>
      </c>
    </row>
    <row r="711" spans="1:14" x14ac:dyDescent="0.2">
      <c r="A711" s="17" t="s">
        <v>443</v>
      </c>
      <c r="B711" s="10">
        <f t="shared" ref="B711:N711" si="136">B690-B699</f>
        <v>28.700000000000003</v>
      </c>
      <c r="C711" s="10">
        <f t="shared" si="136"/>
        <v>371.85</v>
      </c>
      <c r="D711" s="10">
        <f t="shared" si="136"/>
        <v>654.32000000000005</v>
      </c>
      <c r="E711" s="10">
        <f t="shared" si="136"/>
        <v>385.4</v>
      </c>
      <c r="F711" s="10">
        <f t="shared" si="136"/>
        <v>305.04999999999995</v>
      </c>
      <c r="G711" s="10">
        <f t="shared" si="136"/>
        <v>74.200000000000045</v>
      </c>
      <c r="H711" s="10">
        <f t="shared" si="136"/>
        <v>100.79</v>
      </c>
      <c r="I711" s="10">
        <f t="shared" si="136"/>
        <v>22.65</v>
      </c>
      <c r="J711" s="10">
        <f t="shared" si="136"/>
        <v>230.36</v>
      </c>
      <c r="K711" s="10">
        <f t="shared" si="136"/>
        <v>328.50999999999993</v>
      </c>
      <c r="L711" s="10">
        <f t="shared" si="136"/>
        <v>121.61000000000001</v>
      </c>
      <c r="M711" s="10">
        <f t="shared" si="136"/>
        <v>166.15</v>
      </c>
      <c r="N711" s="10">
        <f t="shared" si="136"/>
        <v>2789.59</v>
      </c>
    </row>
    <row r="712" spans="1:14" x14ac:dyDescent="0.2">
      <c r="A712" s="16" t="s">
        <v>444</v>
      </c>
    </row>
    <row r="713" spans="1:14" x14ac:dyDescent="0.2">
      <c r="A713" s="17" t="s">
        <v>444</v>
      </c>
      <c r="B713" s="10">
        <f t="shared" ref="B713:N713" si="137">B691-B700</f>
        <v>3.8099999999999454</v>
      </c>
      <c r="C713" s="10">
        <f t="shared" si="137"/>
        <v>-13.680000000000007</v>
      </c>
      <c r="D713" s="10">
        <f t="shared" si="137"/>
        <v>120.94999999999982</v>
      </c>
      <c r="E713" s="10">
        <f t="shared" si="137"/>
        <v>76.159999999999968</v>
      </c>
      <c r="F713" s="10">
        <f t="shared" si="137"/>
        <v>-765.85000000000014</v>
      </c>
      <c r="G713" s="10">
        <f t="shared" si="137"/>
        <v>-186.10000000000002</v>
      </c>
      <c r="H713" s="10">
        <f t="shared" si="137"/>
        <v>17.180000000000064</v>
      </c>
      <c r="I713" s="10">
        <f t="shared" si="137"/>
        <v>84.32</v>
      </c>
      <c r="J713" s="10">
        <f t="shared" si="137"/>
        <v>-73.160000000000025</v>
      </c>
      <c r="K713" s="10">
        <f t="shared" si="137"/>
        <v>57.629999999999995</v>
      </c>
      <c r="L713" s="10">
        <f t="shared" si="137"/>
        <v>5.9399999999999977</v>
      </c>
      <c r="M713" s="10">
        <f t="shared" si="137"/>
        <v>9.3600000000000136</v>
      </c>
      <c r="N713" s="10">
        <f t="shared" si="137"/>
        <v>-663.43999999999869</v>
      </c>
    </row>
    <row r="714" spans="1:14" x14ac:dyDescent="0.2">
      <c r="A714" s="16" t="s">
        <v>445</v>
      </c>
    </row>
    <row r="715" spans="1:14" x14ac:dyDescent="0.2">
      <c r="A715" s="17" t="s">
        <v>445</v>
      </c>
      <c r="B715" s="10">
        <f t="shared" ref="B715:N715" si="138">B692-B701</f>
        <v>66914.5</v>
      </c>
      <c r="C715" s="10">
        <f t="shared" si="138"/>
        <v>85682.880000000005</v>
      </c>
      <c r="D715" s="10">
        <f t="shared" si="138"/>
        <v>107017.91</v>
      </c>
      <c r="E715" s="10">
        <f t="shared" si="138"/>
        <v>65189.72</v>
      </c>
      <c r="F715" s="10">
        <f t="shared" si="138"/>
        <v>100135.40999999999</v>
      </c>
      <c r="G715" s="10">
        <f t="shared" si="138"/>
        <v>75163.51999999999</v>
      </c>
      <c r="H715" s="10">
        <f t="shared" si="138"/>
        <v>139802.19</v>
      </c>
      <c r="I715" s="10">
        <f t="shared" si="138"/>
        <v>103972.37</v>
      </c>
      <c r="J715" s="10">
        <f t="shared" si="138"/>
        <v>19230.730000000003</v>
      </c>
      <c r="K715" s="10">
        <f t="shared" si="138"/>
        <v>81080.08</v>
      </c>
      <c r="L715" s="10">
        <f t="shared" si="138"/>
        <v>92087.11</v>
      </c>
      <c r="M715" s="10">
        <f t="shared" si="138"/>
        <v>76515.5</v>
      </c>
      <c r="N715" s="10">
        <f t="shared" si="138"/>
        <v>1012791.9199999999</v>
      </c>
    </row>
    <row r="716" spans="1:14" ht="4.95" customHeight="1" x14ac:dyDescent="0.2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</row>
    <row r="717" spans="1:14" ht="4.95" customHeight="1" x14ac:dyDescent="0.2"/>
    <row r="718" spans="1:14" x14ac:dyDescent="0.2">
      <c r="A718" s="16" t="s">
        <v>446</v>
      </c>
      <c r="B718" s="9">
        <f t="shared" ref="B718:N718" si="139">B711+B713+B715</f>
        <v>66947.009999999995</v>
      </c>
      <c r="C718" s="9">
        <f t="shared" si="139"/>
        <v>86041.05</v>
      </c>
      <c r="D718" s="9">
        <f t="shared" si="139"/>
        <v>107793.18000000001</v>
      </c>
      <c r="E718" s="9">
        <f t="shared" si="139"/>
        <v>65651.28</v>
      </c>
      <c r="F718" s="9">
        <f t="shared" si="139"/>
        <v>99674.609999999986</v>
      </c>
      <c r="G718" s="9">
        <f t="shared" si="139"/>
        <v>75051.62</v>
      </c>
      <c r="H718" s="9">
        <f t="shared" si="139"/>
        <v>139920.16</v>
      </c>
      <c r="I718" s="9">
        <f t="shared" si="139"/>
        <v>104079.34</v>
      </c>
      <c r="J718" s="9">
        <f t="shared" si="139"/>
        <v>19387.930000000004</v>
      </c>
      <c r="K718" s="9">
        <f t="shared" si="139"/>
        <v>81466.22</v>
      </c>
      <c r="L718" s="9">
        <f t="shared" si="139"/>
        <v>92214.66</v>
      </c>
      <c r="M718" s="9">
        <f t="shared" si="139"/>
        <v>76691.009999999995</v>
      </c>
      <c r="N718" s="9">
        <f t="shared" si="139"/>
        <v>1014918.07</v>
      </c>
    </row>
    <row r="719" spans="1:14" ht="4.95" customHeight="1" x14ac:dyDescent="0.2"/>
    <row r="720" spans="1:14" ht="4.95" customHeight="1" x14ac:dyDescent="0.2"/>
    <row r="721" spans="1:14" x14ac:dyDescent="0.2">
      <c r="A721" s="16" t="s">
        <v>28</v>
      </c>
    </row>
    <row r="723" spans="1:14" x14ac:dyDescent="0.2">
      <c r="A723" s="16" t="s">
        <v>447</v>
      </c>
    </row>
    <row r="724" spans="1:14" x14ac:dyDescent="0.2">
      <c r="A724" s="17" t="s">
        <v>448</v>
      </c>
      <c r="B724" s="10">
        <v>0</v>
      </c>
      <c r="C724" s="10">
        <v>2213.81</v>
      </c>
      <c r="D724" s="10">
        <v>-928.84</v>
      </c>
      <c r="E724" s="10">
        <v>1670.82</v>
      </c>
      <c r="F724" s="10">
        <v>-28.45</v>
      </c>
      <c r="G724" s="10">
        <v>2.7</v>
      </c>
      <c r="H724" s="10">
        <v>24077.919999999998</v>
      </c>
      <c r="I724" s="10">
        <v>34.9</v>
      </c>
      <c r="J724" s="10">
        <v>11.55</v>
      </c>
      <c r="K724" s="10">
        <v>552</v>
      </c>
      <c r="L724" s="10">
        <v>159.30000000000001</v>
      </c>
      <c r="M724" s="10">
        <v>65979.17</v>
      </c>
      <c r="N724" s="10">
        <f t="shared" ref="N724:N733" si="140">B724+C724+D724+E724+F724+G724+H724+I724+J724+K724+L724+M724</f>
        <v>93744.88</v>
      </c>
    </row>
    <row r="725" spans="1:14" x14ac:dyDescent="0.2">
      <c r="A725" s="17" t="s">
        <v>449</v>
      </c>
      <c r="B725" s="10">
        <v>0</v>
      </c>
      <c r="C725" s="10">
        <v>0</v>
      </c>
      <c r="D725" s="10">
        <v>1345.5</v>
      </c>
      <c r="E725" s="10">
        <v>735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3628</v>
      </c>
      <c r="N725" s="10">
        <f t="shared" si="140"/>
        <v>5708.5</v>
      </c>
    </row>
    <row r="726" spans="1:14" x14ac:dyDescent="0.2">
      <c r="A726" s="17" t="s">
        <v>450</v>
      </c>
      <c r="B726" s="10">
        <v>0</v>
      </c>
      <c r="C726" s="10">
        <v>0</v>
      </c>
      <c r="D726" s="10">
        <v>0</v>
      </c>
      <c r="E726" s="10">
        <v>0</v>
      </c>
      <c r="F726" s="10">
        <v>0</v>
      </c>
      <c r="G726" s="10">
        <v>0</v>
      </c>
      <c r="H726" s="10">
        <v>0</v>
      </c>
      <c r="I726" s="10">
        <v>0</v>
      </c>
      <c r="J726" s="10">
        <v>0</v>
      </c>
      <c r="K726" s="10">
        <v>0</v>
      </c>
      <c r="L726" s="10">
        <v>0</v>
      </c>
      <c r="M726" s="10">
        <v>1219.22</v>
      </c>
      <c r="N726" s="10">
        <f t="shared" si="140"/>
        <v>1219.22</v>
      </c>
    </row>
    <row r="727" spans="1:14" x14ac:dyDescent="0.2">
      <c r="A727" s="17" t="s">
        <v>451</v>
      </c>
      <c r="B727" s="10">
        <v>-916.1</v>
      </c>
      <c r="C727" s="10">
        <v>-1413.34</v>
      </c>
      <c r="D727" s="10">
        <v>-1714.89</v>
      </c>
      <c r="E727" s="10">
        <v>-982.29</v>
      </c>
      <c r="F727" s="10">
        <v>-954.65</v>
      </c>
      <c r="G727" s="10">
        <v>-586.89</v>
      </c>
      <c r="H727" s="10">
        <v>-229.74</v>
      </c>
      <c r="I727" s="10">
        <v>-1111.8</v>
      </c>
      <c r="J727" s="10">
        <v>-370.65</v>
      </c>
      <c r="K727" s="10">
        <v>0</v>
      </c>
      <c r="L727" s="10">
        <v>0</v>
      </c>
      <c r="M727" s="10">
        <v>0</v>
      </c>
      <c r="N727" s="10">
        <f t="shared" si="140"/>
        <v>-8280.35</v>
      </c>
    </row>
    <row r="728" spans="1:14" x14ac:dyDescent="0.2">
      <c r="A728" s="17" t="s">
        <v>452</v>
      </c>
      <c r="B728" s="10">
        <v>450</v>
      </c>
      <c r="C728" s="10">
        <v>150</v>
      </c>
      <c r="D728" s="10">
        <v>367.81</v>
      </c>
      <c r="E728" s="10">
        <v>375</v>
      </c>
      <c r="F728" s="10">
        <v>1875</v>
      </c>
      <c r="G728" s="10">
        <v>975</v>
      </c>
      <c r="H728" s="10">
        <v>3525</v>
      </c>
      <c r="I728" s="10">
        <v>1473.32</v>
      </c>
      <c r="J728" s="10">
        <v>875</v>
      </c>
      <c r="K728" s="10">
        <v>375</v>
      </c>
      <c r="L728" s="10">
        <v>875</v>
      </c>
      <c r="M728" s="10">
        <v>2125</v>
      </c>
      <c r="N728" s="10">
        <f t="shared" si="140"/>
        <v>13441.13</v>
      </c>
    </row>
    <row r="729" spans="1:14" x14ac:dyDescent="0.2">
      <c r="A729" s="17" t="s">
        <v>453</v>
      </c>
      <c r="B729" s="10">
        <v>-54.32</v>
      </c>
      <c r="C729" s="10">
        <v>0</v>
      </c>
      <c r="D729" s="10">
        <v>0</v>
      </c>
      <c r="E729" s="10">
        <v>0</v>
      </c>
      <c r="F729" s="10">
        <v>0</v>
      </c>
      <c r="G729" s="10">
        <v>69.28</v>
      </c>
      <c r="H729" s="10">
        <v>0</v>
      </c>
      <c r="I729" s="10">
        <v>250</v>
      </c>
      <c r="J729" s="10">
        <v>0</v>
      </c>
      <c r="K729" s="10">
        <v>0</v>
      </c>
      <c r="L729" s="10">
        <v>184.76</v>
      </c>
      <c r="M729" s="10">
        <v>0</v>
      </c>
      <c r="N729" s="10">
        <f t="shared" si="140"/>
        <v>449.71999999999997</v>
      </c>
    </row>
    <row r="730" spans="1:14" x14ac:dyDescent="0.2">
      <c r="A730" s="17" t="s">
        <v>454</v>
      </c>
      <c r="B730" s="10">
        <v>244.65</v>
      </c>
      <c r="C730" s="10">
        <v>228.95</v>
      </c>
      <c r="D730" s="10">
        <v>212.85</v>
      </c>
      <c r="E730" s="10">
        <v>361.35</v>
      </c>
      <c r="F730" s="10">
        <v>430.65</v>
      </c>
      <c r="G730" s="10">
        <v>382.25</v>
      </c>
      <c r="H730" s="10">
        <v>301.95</v>
      </c>
      <c r="I730" s="10">
        <v>315.39999999999998</v>
      </c>
      <c r="J730" s="10">
        <v>133.65</v>
      </c>
      <c r="K730" s="10">
        <v>309.95</v>
      </c>
      <c r="L730" s="10">
        <v>252.45</v>
      </c>
      <c r="M730" s="10">
        <v>262.35000000000002</v>
      </c>
      <c r="N730" s="10">
        <f t="shared" si="140"/>
        <v>3436.45</v>
      </c>
    </row>
    <row r="731" spans="1:14" x14ac:dyDescent="0.2">
      <c r="A731" s="17" t="s">
        <v>455</v>
      </c>
      <c r="B731" s="10">
        <v>111.48</v>
      </c>
      <c r="C731" s="10">
        <v>93.77</v>
      </c>
      <c r="D731" s="10">
        <v>418.63</v>
      </c>
      <c r="E731" s="10">
        <v>86.74</v>
      </c>
      <c r="F731" s="10">
        <v>163.29</v>
      </c>
      <c r="G731" s="10">
        <v>105.46</v>
      </c>
      <c r="H731" s="10">
        <v>335.88</v>
      </c>
      <c r="I731" s="10">
        <v>259.85000000000002</v>
      </c>
      <c r="J731" s="10">
        <v>91.3</v>
      </c>
      <c r="K731" s="10">
        <v>263.29000000000002</v>
      </c>
      <c r="L731" s="10">
        <v>151.05000000000001</v>
      </c>
      <c r="M731" s="10">
        <v>207.82</v>
      </c>
      <c r="N731" s="10">
        <f t="shared" si="140"/>
        <v>2288.56</v>
      </c>
    </row>
    <row r="732" spans="1:14" x14ac:dyDescent="0.2">
      <c r="A732" s="17" t="s">
        <v>456</v>
      </c>
      <c r="B732" s="10">
        <v>85.6</v>
      </c>
      <c r="C732" s="10">
        <v>100.58</v>
      </c>
      <c r="D732" s="10">
        <v>100.58</v>
      </c>
      <c r="E732" s="10">
        <v>115.56</v>
      </c>
      <c r="F732" s="10">
        <v>95.23</v>
      </c>
      <c r="G732" s="10">
        <v>90.95</v>
      </c>
      <c r="H732" s="10">
        <v>360</v>
      </c>
      <c r="I732" s="10">
        <v>134.82</v>
      </c>
      <c r="J732" s="10">
        <v>129.5</v>
      </c>
      <c r="K732" s="10">
        <v>-829.26</v>
      </c>
      <c r="L732" s="10">
        <v>-566.37</v>
      </c>
      <c r="M732" s="10">
        <v>-60.57</v>
      </c>
      <c r="N732" s="10">
        <f t="shared" si="140"/>
        <v>-243.38000000000005</v>
      </c>
    </row>
    <row r="733" spans="1:14" x14ac:dyDescent="0.2">
      <c r="A733" s="17" t="s">
        <v>457</v>
      </c>
      <c r="B733" s="10">
        <v>0</v>
      </c>
      <c r="C733" s="10">
        <v>0</v>
      </c>
      <c r="D733" s="10">
        <v>0</v>
      </c>
      <c r="E733" s="10">
        <v>-1641.45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f t="shared" si="140"/>
        <v>-1641.45</v>
      </c>
    </row>
    <row r="734" spans="1:14" ht="4.95" customHeight="1" x14ac:dyDescent="0.2"/>
    <row r="735" spans="1:14" ht="4.95" customHeight="1" x14ac:dyDescent="0.2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</row>
    <row r="736" spans="1:14" ht="4.95" customHeight="1" x14ac:dyDescent="0.2"/>
    <row r="737" spans="1:14" x14ac:dyDescent="0.2">
      <c r="A737" s="16" t="s">
        <v>458</v>
      </c>
      <c r="B737" s="9">
        <f t="shared" ref="B737:N737" si="141">SUM(B724:B733)</f>
        <v>-78.690000000000083</v>
      </c>
      <c r="C737" s="9">
        <f t="shared" si="141"/>
        <v>1373.77</v>
      </c>
      <c r="D737" s="9">
        <f t="shared" si="141"/>
        <v>-198.36000000000007</v>
      </c>
      <c r="E737" s="9">
        <f t="shared" si="141"/>
        <v>720.72999999999934</v>
      </c>
      <c r="F737" s="9">
        <f t="shared" si="141"/>
        <v>1581.07</v>
      </c>
      <c r="G737" s="9">
        <f t="shared" si="141"/>
        <v>1038.75</v>
      </c>
      <c r="H737" s="9">
        <f t="shared" si="141"/>
        <v>28371.01</v>
      </c>
      <c r="I737" s="9">
        <f t="shared" si="141"/>
        <v>1356.49</v>
      </c>
      <c r="J737" s="9">
        <f t="shared" si="141"/>
        <v>870.35</v>
      </c>
      <c r="K737" s="9">
        <f t="shared" si="141"/>
        <v>670.98</v>
      </c>
      <c r="L737" s="9">
        <f t="shared" si="141"/>
        <v>1056.19</v>
      </c>
      <c r="M737" s="9">
        <f t="shared" si="141"/>
        <v>73360.990000000005</v>
      </c>
      <c r="N737" s="9">
        <f t="shared" si="141"/>
        <v>110123.28</v>
      </c>
    </row>
    <row r="738" spans="1:14" ht="4.95" customHeight="1" x14ac:dyDescent="0.2"/>
    <row r="739" spans="1:14" ht="4.95" customHeight="1" x14ac:dyDescent="0.2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</row>
    <row r="740" spans="1:14" ht="4.95" customHeight="1" x14ac:dyDescent="0.2"/>
    <row r="741" spans="1:14" ht="4.95" customHeight="1" x14ac:dyDescent="0.2"/>
    <row r="742" spans="1:14" x14ac:dyDescent="0.2">
      <c r="A742" s="16" t="s">
        <v>29</v>
      </c>
      <c r="B742" s="9">
        <f t="shared" ref="B742:N742" si="142">B122+B278+B367+B465+B537+B617+B670+B696+B737</f>
        <v>1303321.1300000001</v>
      </c>
      <c r="C742" s="9">
        <f t="shared" si="142"/>
        <v>1554221.64</v>
      </c>
      <c r="D742" s="9">
        <f t="shared" si="142"/>
        <v>1709403.82</v>
      </c>
      <c r="E742" s="9">
        <f t="shared" si="142"/>
        <v>1468155.56</v>
      </c>
      <c r="F742" s="9">
        <f t="shared" si="142"/>
        <v>1605154.48</v>
      </c>
      <c r="G742" s="9">
        <f t="shared" si="142"/>
        <v>1267174.6499999999</v>
      </c>
      <c r="H742" s="9">
        <f t="shared" si="142"/>
        <v>1668777.24</v>
      </c>
      <c r="I742" s="9">
        <f t="shared" si="142"/>
        <v>1276424.7699999998</v>
      </c>
      <c r="J742" s="9">
        <f t="shared" si="142"/>
        <v>1306312.92</v>
      </c>
      <c r="K742" s="9">
        <f t="shared" si="142"/>
        <v>1387341.7</v>
      </c>
      <c r="L742" s="9">
        <f t="shared" si="142"/>
        <v>1541629.4999999998</v>
      </c>
      <c r="M742" s="9">
        <f t="shared" si="142"/>
        <v>982979.41999999969</v>
      </c>
      <c r="N742" s="9">
        <f t="shared" si="142"/>
        <v>17070896.829999998</v>
      </c>
    </row>
    <row r="743" spans="1:14" ht="4.95" customHeight="1" x14ac:dyDescent="0.2"/>
    <row r="744" spans="1:14" x14ac:dyDescent="0.2">
      <c r="A744" s="16" t="s">
        <v>34</v>
      </c>
    </row>
    <row r="746" spans="1:14" x14ac:dyDescent="0.2">
      <c r="A746" s="16" t="s">
        <v>459</v>
      </c>
    </row>
    <row r="747" spans="1:14" x14ac:dyDescent="0.2">
      <c r="A747" s="16" t="s">
        <v>460</v>
      </c>
    </row>
    <row r="749" spans="1:14" x14ac:dyDescent="0.2">
      <c r="A749" s="16" t="s">
        <v>461</v>
      </c>
    </row>
    <row r="750" spans="1:14" x14ac:dyDescent="0.2">
      <c r="A750" s="16" t="s">
        <v>462</v>
      </c>
    </row>
    <row r="751" spans="1:14" x14ac:dyDescent="0.2">
      <c r="A751" s="17" t="s">
        <v>463</v>
      </c>
      <c r="B751" s="10">
        <v>12438.72</v>
      </c>
      <c r="C751" s="10">
        <v>11254.08</v>
      </c>
      <c r="D751" s="10">
        <v>12672.32</v>
      </c>
      <c r="E751" s="10">
        <v>12929.28</v>
      </c>
      <c r="F751" s="10">
        <v>14160.64</v>
      </c>
      <c r="G751" s="10">
        <v>11082.24</v>
      </c>
      <c r="H751" s="10">
        <v>13544.96</v>
      </c>
      <c r="I751" s="10">
        <v>13544.96</v>
      </c>
      <c r="J751" s="10">
        <v>12313.6</v>
      </c>
      <c r="K751" s="10">
        <v>11697.92</v>
      </c>
      <c r="L751" s="10">
        <v>12313.6</v>
      </c>
      <c r="M751" s="10">
        <v>11551.66</v>
      </c>
      <c r="N751" s="10">
        <f>B751+C751+D751+E751+F751+G751+H751+I751+J751+K751+L751+M751</f>
        <v>149503.97999999998</v>
      </c>
    </row>
    <row r="752" spans="1:14" x14ac:dyDescent="0.2">
      <c r="A752" s="17" t="s">
        <v>464</v>
      </c>
      <c r="B752" s="10">
        <v>8319.36</v>
      </c>
      <c r="C752" s="10">
        <v>8319.36</v>
      </c>
      <c r="D752" s="10">
        <v>4357.76</v>
      </c>
      <c r="E752" s="10">
        <v>0</v>
      </c>
      <c r="F752" s="10">
        <v>0</v>
      </c>
      <c r="G752" s="10">
        <v>0</v>
      </c>
      <c r="H752" s="10">
        <v>0</v>
      </c>
      <c r="I752" s="10">
        <v>0</v>
      </c>
      <c r="J752" s="10">
        <v>8883.84</v>
      </c>
      <c r="K752" s="10">
        <v>9729.92</v>
      </c>
      <c r="L752" s="10">
        <v>8883.84</v>
      </c>
      <c r="M752" s="10">
        <v>5076.4799999999996</v>
      </c>
      <c r="N752" s="10">
        <f>B752+C752+D752+E752+F752+G752+H752+I752+J752+K752+L752+M752</f>
        <v>53570.559999999998</v>
      </c>
    </row>
    <row r="753" spans="1:14" x14ac:dyDescent="0.2">
      <c r="A753" s="16" t="s">
        <v>465</v>
      </c>
      <c r="B753" s="9">
        <f t="shared" ref="B753:N753" si="143">SUM(B751:B752)</f>
        <v>20758.080000000002</v>
      </c>
      <c r="C753" s="9">
        <f t="shared" si="143"/>
        <v>19573.440000000002</v>
      </c>
      <c r="D753" s="9">
        <f t="shared" si="143"/>
        <v>17030.080000000002</v>
      </c>
      <c r="E753" s="9">
        <f t="shared" si="143"/>
        <v>12929.28</v>
      </c>
      <c r="F753" s="9">
        <f t="shared" si="143"/>
        <v>14160.64</v>
      </c>
      <c r="G753" s="9">
        <f t="shared" si="143"/>
        <v>11082.24</v>
      </c>
      <c r="H753" s="9">
        <f t="shared" si="143"/>
        <v>13544.96</v>
      </c>
      <c r="I753" s="9">
        <f t="shared" si="143"/>
        <v>13544.96</v>
      </c>
      <c r="J753" s="9">
        <f t="shared" si="143"/>
        <v>21197.440000000002</v>
      </c>
      <c r="K753" s="9">
        <f t="shared" si="143"/>
        <v>21427.84</v>
      </c>
      <c r="L753" s="9">
        <f t="shared" si="143"/>
        <v>21197.440000000002</v>
      </c>
      <c r="M753" s="9">
        <f t="shared" si="143"/>
        <v>16628.14</v>
      </c>
      <c r="N753" s="9">
        <f t="shared" si="143"/>
        <v>203074.53999999998</v>
      </c>
    </row>
    <row r="755" spans="1:14" x14ac:dyDescent="0.2">
      <c r="A755" s="16" t="s">
        <v>466</v>
      </c>
    </row>
    <row r="756" spans="1:14" x14ac:dyDescent="0.2">
      <c r="A756" s="17" t="s">
        <v>467</v>
      </c>
      <c r="B756" s="10">
        <v>8866.58</v>
      </c>
      <c r="C756" s="10">
        <v>8533.5300000000007</v>
      </c>
      <c r="D756" s="10">
        <v>10326.049999999999</v>
      </c>
      <c r="E756" s="10">
        <v>10882.94</v>
      </c>
      <c r="F756" s="10">
        <v>10885.42</v>
      </c>
      <c r="G756" s="10">
        <v>7564.32</v>
      </c>
      <c r="H756" s="10">
        <v>3392.67</v>
      </c>
      <c r="I756" s="10">
        <v>8212.4</v>
      </c>
      <c r="J756" s="10">
        <v>8285.83</v>
      </c>
      <c r="K756" s="10">
        <v>11006.76</v>
      </c>
      <c r="L756" s="10">
        <v>10089.14</v>
      </c>
      <c r="M756" s="10">
        <v>10041.64</v>
      </c>
      <c r="N756" s="10">
        <f>B756+C756+D756+E756+F756+G756+H756+I756+J756+K756+L756+M756</f>
        <v>108087.27999999998</v>
      </c>
    </row>
    <row r="757" spans="1:14" x14ac:dyDescent="0.2">
      <c r="A757" s="17" t="s">
        <v>468</v>
      </c>
      <c r="B757" s="10">
        <v>6191.6</v>
      </c>
      <c r="C757" s="10">
        <v>5653.2</v>
      </c>
      <c r="D757" s="10">
        <v>6038</v>
      </c>
      <c r="E757" s="10">
        <v>6768.96</v>
      </c>
      <c r="F757" s="10">
        <v>7076.64</v>
      </c>
      <c r="G757" s="10">
        <v>5538.24</v>
      </c>
      <c r="H757" s="10">
        <v>6768.96</v>
      </c>
      <c r="I757" s="10">
        <v>6768.96</v>
      </c>
      <c r="J757" s="10">
        <v>5845.92</v>
      </c>
      <c r="K757" s="10">
        <v>7076.64</v>
      </c>
      <c r="L757" s="10">
        <v>6461.28</v>
      </c>
      <c r="M757" s="10">
        <v>6153.6</v>
      </c>
      <c r="N757" s="10">
        <f>B757+C757+D757+E757+F757+G757+H757+I757+J757+K757+L757+M757</f>
        <v>76342</v>
      </c>
    </row>
    <row r="758" spans="1:14" x14ac:dyDescent="0.2">
      <c r="A758" s="17" t="s">
        <v>469</v>
      </c>
      <c r="B758" s="10">
        <v>6643.26</v>
      </c>
      <c r="C758" s="10">
        <v>6617.66</v>
      </c>
      <c r="D758" s="10">
        <v>3524.18</v>
      </c>
      <c r="E758" s="10">
        <v>4302.03</v>
      </c>
      <c r="F758" s="10">
        <v>3826.54</v>
      </c>
      <c r="G758" s="10">
        <v>4124.7299999999996</v>
      </c>
      <c r="H758" s="10">
        <v>3892.63</v>
      </c>
      <c r="I758" s="10">
        <v>4747.37</v>
      </c>
      <c r="J758" s="10">
        <v>4136.38</v>
      </c>
      <c r="K758" s="10">
        <v>3825.95</v>
      </c>
      <c r="L758" s="10">
        <v>4951.05</v>
      </c>
      <c r="M758" s="10">
        <v>4909.8100000000004</v>
      </c>
      <c r="N758" s="10">
        <f>B758+C758+D758+E758+F758+G758+H758+I758+J758+K758+L758+M758</f>
        <v>55501.59</v>
      </c>
    </row>
    <row r="759" spans="1:14" x14ac:dyDescent="0.2">
      <c r="A759" s="16" t="s">
        <v>470</v>
      </c>
      <c r="B759" s="9">
        <f t="shared" ref="B759:N759" si="144">SUM(B756:B758)</f>
        <v>21701.440000000002</v>
      </c>
      <c r="C759" s="9">
        <f t="shared" si="144"/>
        <v>20804.39</v>
      </c>
      <c r="D759" s="9">
        <f t="shared" si="144"/>
        <v>19888.23</v>
      </c>
      <c r="E759" s="9">
        <f t="shared" si="144"/>
        <v>21953.93</v>
      </c>
      <c r="F759" s="9">
        <f t="shared" si="144"/>
        <v>21788.600000000002</v>
      </c>
      <c r="G759" s="9">
        <f t="shared" si="144"/>
        <v>17227.29</v>
      </c>
      <c r="H759" s="9">
        <f t="shared" si="144"/>
        <v>14054.260000000002</v>
      </c>
      <c r="I759" s="9">
        <f t="shared" si="144"/>
        <v>19728.73</v>
      </c>
      <c r="J759" s="9">
        <f t="shared" si="144"/>
        <v>18268.13</v>
      </c>
      <c r="K759" s="9">
        <f t="shared" si="144"/>
        <v>21909.350000000002</v>
      </c>
      <c r="L759" s="9">
        <f t="shared" si="144"/>
        <v>21501.469999999998</v>
      </c>
      <c r="M759" s="9">
        <f t="shared" si="144"/>
        <v>21105.05</v>
      </c>
      <c r="N759" s="9">
        <f t="shared" si="144"/>
        <v>239930.86999999997</v>
      </c>
    </row>
    <row r="760" spans="1:14" x14ac:dyDescent="0.2">
      <c r="A760" s="16" t="s">
        <v>471</v>
      </c>
      <c r="B760" s="9">
        <f t="shared" ref="B760:N760" si="145">B753+B759</f>
        <v>42459.520000000004</v>
      </c>
      <c r="C760" s="9">
        <f t="shared" si="145"/>
        <v>40377.83</v>
      </c>
      <c r="D760" s="9">
        <f t="shared" si="145"/>
        <v>36918.31</v>
      </c>
      <c r="E760" s="9">
        <f t="shared" si="145"/>
        <v>34883.21</v>
      </c>
      <c r="F760" s="9">
        <f t="shared" si="145"/>
        <v>35949.240000000005</v>
      </c>
      <c r="G760" s="9">
        <f t="shared" si="145"/>
        <v>28309.53</v>
      </c>
      <c r="H760" s="9">
        <f t="shared" si="145"/>
        <v>27599.22</v>
      </c>
      <c r="I760" s="9">
        <f t="shared" si="145"/>
        <v>33273.69</v>
      </c>
      <c r="J760" s="9">
        <f t="shared" si="145"/>
        <v>39465.570000000007</v>
      </c>
      <c r="K760" s="9">
        <f t="shared" si="145"/>
        <v>43337.19</v>
      </c>
      <c r="L760" s="9">
        <f t="shared" si="145"/>
        <v>42698.91</v>
      </c>
      <c r="M760" s="9">
        <f t="shared" si="145"/>
        <v>37733.19</v>
      </c>
      <c r="N760" s="9">
        <f t="shared" si="145"/>
        <v>443005.40999999992</v>
      </c>
    </row>
    <row r="762" spans="1:14" x14ac:dyDescent="0.2">
      <c r="A762" s="16" t="s">
        <v>472</v>
      </c>
    </row>
    <row r="763" spans="1:14" x14ac:dyDescent="0.2">
      <c r="A763" s="17" t="s">
        <v>473</v>
      </c>
      <c r="B763" s="10">
        <v>0</v>
      </c>
      <c r="C763" s="10">
        <v>0</v>
      </c>
      <c r="D763" s="10">
        <v>16049.2</v>
      </c>
      <c r="E763" s="10">
        <v>0</v>
      </c>
      <c r="F763" s="10">
        <v>0</v>
      </c>
      <c r="G763" s="10">
        <v>0</v>
      </c>
      <c r="H763" s="10">
        <v>0</v>
      </c>
      <c r="I763" s="10">
        <v>0</v>
      </c>
      <c r="J763" s="10">
        <v>4546.76</v>
      </c>
      <c r="K763" s="10">
        <v>0</v>
      </c>
      <c r="L763" s="10">
        <v>0</v>
      </c>
      <c r="M763" s="10">
        <v>0</v>
      </c>
      <c r="N763" s="10">
        <f t="shared" ref="N763:N769" si="146">B763+C763+D763+E763+F763+G763+H763+I763+J763+K763+L763+M763</f>
        <v>20595.96</v>
      </c>
    </row>
    <row r="764" spans="1:14" x14ac:dyDescent="0.2">
      <c r="A764" s="17" t="s">
        <v>474</v>
      </c>
      <c r="B764" s="10">
        <v>3215.36</v>
      </c>
      <c r="C764" s="10">
        <v>3444.31</v>
      </c>
      <c r="D764" s="10">
        <v>4736.45</v>
      </c>
      <c r="E764" s="10">
        <v>1321.01</v>
      </c>
      <c r="F764" s="10">
        <v>2679.79</v>
      </c>
      <c r="G764" s="10">
        <v>2269.54</v>
      </c>
      <c r="H764" s="10">
        <v>1594.1</v>
      </c>
      <c r="I764" s="10">
        <v>3365.49</v>
      </c>
      <c r="J764" s="10">
        <v>3145.29</v>
      </c>
      <c r="K764" s="10">
        <v>3038.14</v>
      </c>
      <c r="L764" s="10">
        <v>3085.29</v>
      </c>
      <c r="M764" s="10">
        <v>2777.46</v>
      </c>
      <c r="N764" s="10">
        <f t="shared" si="146"/>
        <v>34672.229999999996</v>
      </c>
    </row>
    <row r="765" spans="1:14" x14ac:dyDescent="0.2">
      <c r="A765" s="17" t="s">
        <v>475</v>
      </c>
      <c r="B765" s="10">
        <v>242.29</v>
      </c>
      <c r="C765" s="10">
        <v>212.01</v>
      </c>
      <c r="D765" s="10">
        <v>185.27</v>
      </c>
      <c r="E765" s="10">
        <v>184.11</v>
      </c>
      <c r="F765" s="10">
        <v>185.48</v>
      </c>
      <c r="G765" s="10">
        <v>162.94</v>
      </c>
      <c r="H765" s="10">
        <v>146.26</v>
      </c>
      <c r="I765" s="10">
        <v>169.56</v>
      </c>
      <c r="J765" s="10">
        <v>204.08</v>
      </c>
      <c r="K765" s="10">
        <v>208.44</v>
      </c>
      <c r="L765" s="10">
        <v>200.44</v>
      </c>
      <c r="M765" s="10">
        <v>211.03</v>
      </c>
      <c r="N765" s="10">
        <f t="shared" si="146"/>
        <v>2311.91</v>
      </c>
    </row>
    <row r="766" spans="1:14" x14ac:dyDescent="0.2">
      <c r="A766" s="17" t="s">
        <v>476</v>
      </c>
      <c r="B766" s="10">
        <v>953.91</v>
      </c>
      <c r="C766" s="10">
        <v>828.02</v>
      </c>
      <c r="D766" s="10">
        <v>544.82000000000005</v>
      </c>
      <c r="E766" s="10">
        <v>805.22</v>
      </c>
      <c r="F766" s="10">
        <v>631.37</v>
      </c>
      <c r="G766" s="10">
        <v>505.11</v>
      </c>
      <c r="H766" s="10">
        <v>410.14</v>
      </c>
      <c r="I766" s="10">
        <v>602.26</v>
      </c>
      <c r="J766" s="10">
        <v>910.92</v>
      </c>
      <c r="K766" s="10">
        <v>765.6</v>
      </c>
      <c r="L766" s="10">
        <v>751.37</v>
      </c>
      <c r="M766" s="10">
        <v>931.46</v>
      </c>
      <c r="N766" s="10">
        <f t="shared" si="146"/>
        <v>8640.2000000000007</v>
      </c>
    </row>
    <row r="767" spans="1:14" x14ac:dyDescent="0.2">
      <c r="A767" s="17" t="s">
        <v>477</v>
      </c>
      <c r="B767" s="10">
        <v>2612</v>
      </c>
      <c r="C767" s="10">
        <v>913.6</v>
      </c>
      <c r="D767" s="10">
        <v>163.12</v>
      </c>
      <c r="E767" s="10">
        <v>480.4</v>
      </c>
      <c r="F767" s="10">
        <v>163.12</v>
      </c>
      <c r="G767" s="10">
        <v>110.11</v>
      </c>
      <c r="H767" s="10">
        <v>5393.76</v>
      </c>
      <c r="I767" s="10">
        <v>951.84</v>
      </c>
      <c r="J767" s="10">
        <v>307.68</v>
      </c>
      <c r="K767" s="10">
        <v>1548.64</v>
      </c>
      <c r="L767" s="10">
        <v>1847.04</v>
      </c>
      <c r="M767" s="10">
        <v>1231.3599999999999</v>
      </c>
      <c r="N767" s="10">
        <f t="shared" si="146"/>
        <v>15722.670000000002</v>
      </c>
    </row>
    <row r="768" spans="1:14" x14ac:dyDescent="0.2">
      <c r="A768" s="17" t="s">
        <v>478</v>
      </c>
      <c r="B768" s="10">
        <v>643.91999999999996</v>
      </c>
      <c r="C768" s="10">
        <v>285.2</v>
      </c>
      <c r="D768" s="10">
        <v>80.319999999999993</v>
      </c>
      <c r="E768" s="10">
        <v>697.24</v>
      </c>
      <c r="F768" s="10">
        <v>317.27999999999997</v>
      </c>
      <c r="G768" s="10">
        <v>81.56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307.68</v>
      </c>
      <c r="N768" s="10">
        <f t="shared" si="146"/>
        <v>2413.1999999999998</v>
      </c>
    </row>
    <row r="769" spans="1:14" x14ac:dyDescent="0.2">
      <c r="A769" s="17" t="s">
        <v>479</v>
      </c>
      <c r="B769" s="10">
        <v>3154.87</v>
      </c>
      <c r="C769" s="10">
        <v>592.32000000000005</v>
      </c>
      <c r="D769" s="10">
        <v>445.84</v>
      </c>
      <c r="E769" s="10">
        <v>0</v>
      </c>
      <c r="F769" s="10">
        <v>0</v>
      </c>
      <c r="G769" s="10">
        <v>3020.4</v>
      </c>
      <c r="H769" s="10">
        <v>1371.32</v>
      </c>
      <c r="I769" s="10">
        <v>0</v>
      </c>
      <c r="J769" s="10">
        <v>1379.78</v>
      </c>
      <c r="K769" s="10">
        <v>0</v>
      </c>
      <c r="L769" s="10">
        <v>0</v>
      </c>
      <c r="M769" s="10">
        <v>1240.6400000000001</v>
      </c>
      <c r="N769" s="10">
        <f t="shared" si="146"/>
        <v>11205.17</v>
      </c>
    </row>
    <row r="770" spans="1:14" x14ac:dyDescent="0.2">
      <c r="A770" s="16" t="s">
        <v>480</v>
      </c>
      <c r="B770" s="9">
        <f t="shared" ref="B770:N770" si="147">SUM(B763:B769)</f>
        <v>10822.35</v>
      </c>
      <c r="C770" s="9">
        <f t="shared" si="147"/>
        <v>6275.46</v>
      </c>
      <c r="D770" s="9">
        <f t="shared" si="147"/>
        <v>22205.02</v>
      </c>
      <c r="E770" s="9">
        <f t="shared" si="147"/>
        <v>3487.9800000000005</v>
      </c>
      <c r="F770" s="9">
        <f t="shared" si="147"/>
        <v>3977.04</v>
      </c>
      <c r="G770" s="9">
        <f t="shared" si="147"/>
        <v>6149.66</v>
      </c>
      <c r="H770" s="9">
        <f t="shared" si="147"/>
        <v>8915.58</v>
      </c>
      <c r="I770" s="9">
        <f t="shared" si="147"/>
        <v>5089.1499999999996</v>
      </c>
      <c r="J770" s="9">
        <f t="shared" si="147"/>
        <v>10494.51</v>
      </c>
      <c r="K770" s="9">
        <f t="shared" si="147"/>
        <v>5560.82</v>
      </c>
      <c r="L770" s="9">
        <f t="shared" si="147"/>
        <v>5884.1399999999994</v>
      </c>
      <c r="M770" s="9">
        <f t="shared" si="147"/>
        <v>6699.630000000001</v>
      </c>
      <c r="N770" s="9">
        <f t="shared" si="147"/>
        <v>95561.339999999982</v>
      </c>
    </row>
    <row r="771" spans="1:14" ht="4.95" customHeight="1" x14ac:dyDescent="0.2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</row>
    <row r="772" spans="1:14" ht="4.95" customHeight="1" x14ac:dyDescent="0.2"/>
    <row r="773" spans="1:14" x14ac:dyDescent="0.2">
      <c r="A773" s="16" t="s">
        <v>481</v>
      </c>
      <c r="B773" s="9">
        <f t="shared" ref="B773:N773" si="148">B760+B770</f>
        <v>53281.87</v>
      </c>
      <c r="C773" s="9">
        <f t="shared" si="148"/>
        <v>46653.29</v>
      </c>
      <c r="D773" s="9">
        <f t="shared" si="148"/>
        <v>59123.33</v>
      </c>
      <c r="E773" s="9">
        <f t="shared" si="148"/>
        <v>38371.19</v>
      </c>
      <c r="F773" s="9">
        <f t="shared" si="148"/>
        <v>39926.280000000006</v>
      </c>
      <c r="G773" s="9">
        <f t="shared" si="148"/>
        <v>34459.19</v>
      </c>
      <c r="H773" s="9">
        <f t="shared" si="148"/>
        <v>36514.800000000003</v>
      </c>
      <c r="I773" s="9">
        <f t="shared" si="148"/>
        <v>38362.840000000004</v>
      </c>
      <c r="J773" s="9">
        <f t="shared" si="148"/>
        <v>49960.080000000009</v>
      </c>
      <c r="K773" s="9">
        <f t="shared" si="148"/>
        <v>48898.01</v>
      </c>
      <c r="L773" s="9">
        <f t="shared" si="148"/>
        <v>48583.05</v>
      </c>
      <c r="M773" s="9">
        <f t="shared" si="148"/>
        <v>44432.820000000007</v>
      </c>
      <c r="N773" s="9">
        <f t="shared" si="148"/>
        <v>538566.74999999988</v>
      </c>
    </row>
    <row r="774" spans="1:14" ht="4.95" customHeight="1" x14ac:dyDescent="0.2"/>
    <row r="775" spans="1:14" x14ac:dyDescent="0.2">
      <c r="A775" s="16" t="s">
        <v>114</v>
      </c>
    </row>
    <row r="776" spans="1:14" x14ac:dyDescent="0.2">
      <c r="A776" s="17" t="s">
        <v>482</v>
      </c>
      <c r="B776" s="10">
        <v>0</v>
      </c>
      <c r="C776" s="10">
        <v>0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  <c r="J776" s="10">
        <v>204</v>
      </c>
      <c r="K776" s="10">
        <v>0</v>
      </c>
      <c r="L776" s="10">
        <v>420</v>
      </c>
      <c r="M776" s="10">
        <v>315.35000000000002</v>
      </c>
      <c r="N776" s="10">
        <f t="shared" ref="N776:N793" si="149">B776+C776+D776+E776+F776+G776+H776+I776+J776+K776+L776+M776</f>
        <v>939.35</v>
      </c>
    </row>
    <row r="777" spans="1:14" x14ac:dyDescent="0.2">
      <c r="A777" s="17" t="s">
        <v>483</v>
      </c>
      <c r="B777" s="10">
        <v>1296.03</v>
      </c>
      <c r="C777" s="10">
        <v>1344.68</v>
      </c>
      <c r="D777" s="10">
        <v>1477.65</v>
      </c>
      <c r="E777" s="10">
        <v>1441.16</v>
      </c>
      <c r="F777" s="10">
        <v>1392.38</v>
      </c>
      <c r="G777" s="10">
        <v>1428.91</v>
      </c>
      <c r="H777" s="10">
        <v>1435.81</v>
      </c>
      <c r="I777" s="10">
        <v>1361.89</v>
      </c>
      <c r="J777" s="10">
        <v>1416.23</v>
      </c>
      <c r="K777" s="10">
        <v>1412.56</v>
      </c>
      <c r="L777" s="10">
        <v>1393.3</v>
      </c>
      <c r="M777" s="10">
        <v>1329.45</v>
      </c>
      <c r="N777" s="10">
        <f t="shared" si="149"/>
        <v>16730.05</v>
      </c>
    </row>
    <row r="778" spans="1:14" x14ac:dyDescent="0.2">
      <c r="A778" s="17" t="s">
        <v>484</v>
      </c>
      <c r="B778" s="10">
        <v>17.68</v>
      </c>
      <c r="C778" s="10">
        <v>-807.06</v>
      </c>
      <c r="D778" s="10">
        <v>748.01</v>
      </c>
      <c r="E778" s="10">
        <v>-25.35</v>
      </c>
      <c r="F778" s="10">
        <v>-43.65</v>
      </c>
      <c r="G778" s="10">
        <v>-19.73</v>
      </c>
      <c r="H778" s="10">
        <v>4461.38</v>
      </c>
      <c r="I778" s="10">
        <v>-4571.84</v>
      </c>
      <c r="J778" s="10">
        <v>-80.84</v>
      </c>
      <c r="K778" s="10">
        <v>32.17</v>
      </c>
      <c r="L778" s="10">
        <v>-4.17</v>
      </c>
      <c r="M778" s="10">
        <v>-4.3099999999999996</v>
      </c>
      <c r="N778" s="10">
        <f t="shared" si="149"/>
        <v>-297.71000000000043</v>
      </c>
    </row>
    <row r="779" spans="1:14" x14ac:dyDescent="0.2">
      <c r="A779" s="17" t="s">
        <v>485</v>
      </c>
      <c r="B779" s="10">
        <v>150</v>
      </c>
      <c r="C779" s="10">
        <v>150</v>
      </c>
      <c r="D779" s="10">
        <v>150</v>
      </c>
      <c r="E779" s="10">
        <v>150</v>
      </c>
      <c r="F779" s="10">
        <v>150</v>
      </c>
      <c r="G779" s="10">
        <v>150</v>
      </c>
      <c r="H779" s="10">
        <v>150</v>
      </c>
      <c r="I779" s="10">
        <v>150</v>
      </c>
      <c r="J779" s="10">
        <v>150</v>
      </c>
      <c r="K779" s="10">
        <v>150</v>
      </c>
      <c r="L779" s="10">
        <v>150</v>
      </c>
      <c r="M779" s="10">
        <v>150</v>
      </c>
      <c r="N779" s="10">
        <f t="shared" si="149"/>
        <v>1800</v>
      </c>
    </row>
    <row r="780" spans="1:14" x14ac:dyDescent="0.2">
      <c r="A780" s="17" t="s">
        <v>486</v>
      </c>
      <c r="B780" s="10">
        <v>34105.39</v>
      </c>
      <c r="C780" s="10">
        <v>36764.199999999997</v>
      </c>
      <c r="D780" s="10">
        <v>47676.33</v>
      </c>
      <c r="E780" s="10">
        <v>40892.720000000001</v>
      </c>
      <c r="F780" s="10">
        <v>42592.36</v>
      </c>
      <c r="G780" s="10">
        <v>30664.25</v>
      </c>
      <c r="H780" s="10">
        <v>40257.65</v>
      </c>
      <c r="I780" s="10">
        <v>34459.760000000002</v>
      </c>
      <c r="J780" s="10">
        <v>27682.42</v>
      </c>
      <c r="K780" s="10">
        <v>33633.370000000003</v>
      </c>
      <c r="L780" s="10">
        <v>32927.78</v>
      </c>
      <c r="M780" s="10">
        <v>22089.22</v>
      </c>
      <c r="N780" s="10">
        <f t="shared" si="149"/>
        <v>423745.44999999995</v>
      </c>
    </row>
    <row r="781" spans="1:14" x14ac:dyDescent="0.2">
      <c r="A781" s="17" t="s">
        <v>487</v>
      </c>
      <c r="B781" s="10">
        <v>0</v>
      </c>
      <c r="C781" s="10">
        <v>0</v>
      </c>
      <c r="D781" s="10">
        <v>0</v>
      </c>
      <c r="E781" s="10">
        <v>0</v>
      </c>
      <c r="F781" s="10">
        <v>0</v>
      </c>
      <c r="G781" s="10">
        <v>0</v>
      </c>
      <c r="H781" s="10">
        <v>365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f t="shared" si="149"/>
        <v>365</v>
      </c>
    </row>
    <row r="782" spans="1:14" x14ac:dyDescent="0.2">
      <c r="A782" s="17" t="s">
        <v>488</v>
      </c>
      <c r="B782" s="10">
        <v>0</v>
      </c>
      <c r="C782" s="10">
        <v>8.6300000000000008</v>
      </c>
      <c r="D782" s="10">
        <v>0</v>
      </c>
      <c r="E782" s="10">
        <v>0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  <c r="K782" s="10">
        <v>0</v>
      </c>
      <c r="L782" s="10">
        <v>5693.18</v>
      </c>
      <c r="M782" s="10">
        <v>0</v>
      </c>
      <c r="N782" s="10">
        <f t="shared" si="149"/>
        <v>5701.81</v>
      </c>
    </row>
    <row r="783" spans="1:14" x14ac:dyDescent="0.2">
      <c r="A783" s="17" t="s">
        <v>489</v>
      </c>
      <c r="B783" s="10">
        <v>0</v>
      </c>
      <c r="C783" s="10">
        <v>0</v>
      </c>
      <c r="D783" s="10">
        <v>0</v>
      </c>
      <c r="E783" s="10">
        <v>0</v>
      </c>
      <c r="F783" s="10">
        <v>0</v>
      </c>
      <c r="G783" s="10">
        <v>0</v>
      </c>
      <c r="H783" s="10">
        <v>339.99</v>
      </c>
      <c r="I783" s="10">
        <v>-339.99</v>
      </c>
      <c r="J783" s="10">
        <v>56</v>
      </c>
      <c r="K783" s="10">
        <v>0</v>
      </c>
      <c r="L783" s="10">
        <v>0</v>
      </c>
      <c r="M783" s="10">
        <v>0</v>
      </c>
      <c r="N783" s="10">
        <f t="shared" si="149"/>
        <v>56</v>
      </c>
    </row>
    <row r="784" spans="1:14" x14ac:dyDescent="0.2">
      <c r="A784" s="17" t="s">
        <v>490</v>
      </c>
      <c r="B784" s="10">
        <v>157.19999999999999</v>
      </c>
      <c r="C784" s="10">
        <v>9.85</v>
      </c>
      <c r="D784" s="10">
        <v>77.39</v>
      </c>
      <c r="E784" s="10">
        <v>440.75</v>
      </c>
      <c r="F784" s="10">
        <v>183.15</v>
      </c>
      <c r="G784" s="10">
        <v>199.14</v>
      </c>
      <c r="H784" s="10">
        <v>0</v>
      </c>
      <c r="I784" s="10">
        <v>146.97</v>
      </c>
      <c r="J784" s="10">
        <v>0</v>
      </c>
      <c r="K784" s="10">
        <v>0</v>
      </c>
      <c r="L784" s="10">
        <v>0</v>
      </c>
      <c r="M784" s="10">
        <v>0</v>
      </c>
      <c r="N784" s="10">
        <f t="shared" si="149"/>
        <v>1214.45</v>
      </c>
    </row>
    <row r="785" spans="1:14" x14ac:dyDescent="0.2">
      <c r="A785" s="17" t="s">
        <v>491</v>
      </c>
      <c r="B785" s="10">
        <v>691.92</v>
      </c>
      <c r="C785" s="10">
        <v>1282.5</v>
      </c>
      <c r="D785" s="10">
        <v>1355.9</v>
      </c>
      <c r="E785" s="10">
        <v>770.98</v>
      </c>
      <c r="F785" s="10">
        <v>810.87</v>
      </c>
      <c r="G785" s="10">
        <v>909.35</v>
      </c>
      <c r="H785" s="10">
        <v>735.58</v>
      </c>
      <c r="I785" s="10">
        <v>732.14</v>
      </c>
      <c r="J785" s="10">
        <v>844.04</v>
      </c>
      <c r="K785" s="10">
        <v>729.98</v>
      </c>
      <c r="L785" s="10">
        <v>704.59</v>
      </c>
      <c r="M785" s="10">
        <v>723.54</v>
      </c>
      <c r="N785" s="10">
        <f t="shared" si="149"/>
        <v>10291.39</v>
      </c>
    </row>
    <row r="786" spans="1:14" x14ac:dyDescent="0.2">
      <c r="A786" s="17" t="s">
        <v>492</v>
      </c>
      <c r="B786" s="10">
        <v>0</v>
      </c>
      <c r="C786" s="10">
        <v>0</v>
      </c>
      <c r="D786" s="10">
        <v>0</v>
      </c>
      <c r="E786" s="10">
        <v>77.849999999999994</v>
      </c>
      <c r="F786" s="10">
        <v>10.29</v>
      </c>
      <c r="G786" s="10">
        <v>28.25</v>
      </c>
      <c r="H786" s="10">
        <v>20.260000000000002</v>
      </c>
      <c r="I786" s="10">
        <v>0</v>
      </c>
      <c r="J786" s="10">
        <v>0</v>
      </c>
      <c r="K786" s="10">
        <v>10.45</v>
      </c>
      <c r="L786" s="10">
        <v>0</v>
      </c>
      <c r="M786" s="10">
        <v>0</v>
      </c>
      <c r="N786" s="10">
        <f t="shared" si="149"/>
        <v>147.09999999999997</v>
      </c>
    </row>
    <row r="787" spans="1:14" x14ac:dyDescent="0.2">
      <c r="A787" s="17" t="s">
        <v>493</v>
      </c>
      <c r="B787" s="10">
        <v>0</v>
      </c>
      <c r="C787" s="10">
        <v>0</v>
      </c>
      <c r="D787" s="10">
        <v>172.34</v>
      </c>
      <c r="E787" s="10">
        <v>0</v>
      </c>
      <c r="F787" s="10">
        <v>0</v>
      </c>
      <c r="G787" s="10">
        <v>150.24</v>
      </c>
      <c r="H787" s="10">
        <v>0</v>
      </c>
      <c r="I787" s="10">
        <v>110.25</v>
      </c>
      <c r="J787" s="10">
        <v>189.85</v>
      </c>
      <c r="K787" s="10">
        <v>168.14</v>
      </c>
      <c r="L787" s="10">
        <v>488.5</v>
      </c>
      <c r="M787" s="10">
        <v>80.02</v>
      </c>
      <c r="N787" s="10">
        <f t="shared" si="149"/>
        <v>1359.3400000000001</v>
      </c>
    </row>
    <row r="788" spans="1:14" x14ac:dyDescent="0.2">
      <c r="A788" s="17" t="s">
        <v>494</v>
      </c>
      <c r="B788" s="10">
        <v>0</v>
      </c>
      <c r="C788" s="10">
        <v>0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  <c r="I788" s="10">
        <v>10317.120000000001</v>
      </c>
      <c r="J788" s="10">
        <v>0</v>
      </c>
      <c r="K788" s="10">
        <v>0</v>
      </c>
      <c r="L788" s="10">
        <v>0</v>
      </c>
      <c r="M788" s="10">
        <v>0</v>
      </c>
      <c r="N788" s="10">
        <f t="shared" si="149"/>
        <v>10317.120000000001</v>
      </c>
    </row>
    <row r="789" spans="1:14" x14ac:dyDescent="0.2">
      <c r="A789" s="17" t="s">
        <v>495</v>
      </c>
      <c r="B789" s="10">
        <v>0</v>
      </c>
      <c r="C789" s="10">
        <v>0</v>
      </c>
      <c r="D789" s="10">
        <v>0</v>
      </c>
      <c r="E789" s="10">
        <v>6848.26</v>
      </c>
      <c r="F789" s="10">
        <v>0</v>
      </c>
      <c r="G789" s="10">
        <v>0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f t="shared" si="149"/>
        <v>6848.26</v>
      </c>
    </row>
    <row r="790" spans="1:14" x14ac:dyDescent="0.2">
      <c r="A790" s="17" t="s">
        <v>496</v>
      </c>
      <c r="B790" s="10">
        <v>0</v>
      </c>
      <c r="C790" s="10">
        <v>0</v>
      </c>
      <c r="D790" s="10">
        <v>0</v>
      </c>
      <c r="E790" s="10">
        <v>0</v>
      </c>
      <c r="F790" s="10">
        <v>248.98</v>
      </c>
      <c r="G790" s="10">
        <v>1595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f t="shared" si="149"/>
        <v>1843.98</v>
      </c>
    </row>
    <row r="791" spans="1:14" x14ac:dyDescent="0.2">
      <c r="A791" s="17" t="s">
        <v>497</v>
      </c>
      <c r="B791" s="10">
        <v>0</v>
      </c>
      <c r="C791" s="10">
        <v>0</v>
      </c>
      <c r="D791" s="10">
        <v>0</v>
      </c>
      <c r="E791" s="10">
        <v>0</v>
      </c>
      <c r="F791" s="10">
        <v>0</v>
      </c>
      <c r="G791" s="10">
        <v>39.28</v>
      </c>
      <c r="H791" s="10">
        <v>212.96</v>
      </c>
      <c r="I791" s="10">
        <v>0</v>
      </c>
      <c r="J791" s="10">
        <v>661</v>
      </c>
      <c r="K791" s="10">
        <v>0</v>
      </c>
      <c r="L791" s="10">
        <v>0</v>
      </c>
      <c r="M791" s="10">
        <v>0</v>
      </c>
      <c r="N791" s="10">
        <f t="shared" si="149"/>
        <v>913.24</v>
      </c>
    </row>
    <row r="792" spans="1:14" x14ac:dyDescent="0.2">
      <c r="A792" s="17" t="s">
        <v>498</v>
      </c>
      <c r="B792" s="10">
        <v>311.19</v>
      </c>
      <c r="C792" s="10">
        <v>0</v>
      </c>
      <c r="D792" s="10">
        <v>0</v>
      </c>
      <c r="E792" s="10">
        <v>0</v>
      </c>
      <c r="F792" s="10">
        <v>0</v>
      </c>
      <c r="G792" s="10">
        <v>0</v>
      </c>
      <c r="H792" s="10">
        <v>0</v>
      </c>
      <c r="I792" s="10">
        <v>0</v>
      </c>
      <c r="J792" s="10">
        <v>368.63</v>
      </c>
      <c r="K792" s="10">
        <v>0</v>
      </c>
      <c r="L792" s="10">
        <v>0</v>
      </c>
      <c r="M792" s="10">
        <v>0</v>
      </c>
      <c r="N792" s="10">
        <f t="shared" si="149"/>
        <v>679.81999999999994</v>
      </c>
    </row>
    <row r="793" spans="1:14" x14ac:dyDescent="0.2">
      <c r="A793" s="17" t="s">
        <v>499</v>
      </c>
      <c r="B793" s="10">
        <v>1567.86</v>
      </c>
      <c r="C793" s="10">
        <v>802</v>
      </c>
      <c r="D793" s="10">
        <v>462.46</v>
      </c>
      <c r="E793" s="10">
        <v>974.54</v>
      </c>
      <c r="F793" s="10">
        <v>1310.23</v>
      </c>
      <c r="G793" s="10">
        <v>2305.33</v>
      </c>
      <c r="H793" s="10">
        <v>2888.89</v>
      </c>
      <c r="I793" s="10">
        <v>1620.1</v>
      </c>
      <c r="J793" s="10">
        <v>2564.4699999999998</v>
      </c>
      <c r="K793" s="10">
        <v>1313.14</v>
      </c>
      <c r="L793" s="10">
        <v>3616.39</v>
      </c>
      <c r="M793" s="10">
        <v>966.4</v>
      </c>
      <c r="N793" s="10">
        <f t="shared" si="149"/>
        <v>20391.810000000001</v>
      </c>
    </row>
    <row r="794" spans="1:14" ht="4.95" customHeight="1" x14ac:dyDescent="0.2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</row>
    <row r="795" spans="1:14" ht="4.95" customHeight="1" x14ac:dyDescent="0.2"/>
    <row r="796" spans="1:14" x14ac:dyDescent="0.2">
      <c r="A796" s="16" t="s">
        <v>139</v>
      </c>
      <c r="B796" s="9">
        <f t="shared" ref="B796:N796" si="150">SUM(B776:B793)</f>
        <v>38297.269999999997</v>
      </c>
      <c r="C796" s="9">
        <f t="shared" si="150"/>
        <v>39554.799999999996</v>
      </c>
      <c r="D796" s="9">
        <f t="shared" si="150"/>
        <v>52120.08</v>
      </c>
      <c r="E796" s="9">
        <f t="shared" si="150"/>
        <v>51570.91</v>
      </c>
      <c r="F796" s="9">
        <f t="shared" si="150"/>
        <v>46654.610000000015</v>
      </c>
      <c r="G796" s="9">
        <f t="shared" si="150"/>
        <v>37450.019999999997</v>
      </c>
      <c r="H796" s="9">
        <f t="shared" si="150"/>
        <v>50867.520000000004</v>
      </c>
      <c r="I796" s="9">
        <f t="shared" si="150"/>
        <v>43986.400000000001</v>
      </c>
      <c r="J796" s="9">
        <f t="shared" si="150"/>
        <v>34055.799999999996</v>
      </c>
      <c r="K796" s="9">
        <f t="shared" si="150"/>
        <v>37449.810000000005</v>
      </c>
      <c r="L796" s="9">
        <f t="shared" si="150"/>
        <v>45389.569999999992</v>
      </c>
      <c r="M796" s="9">
        <f t="shared" si="150"/>
        <v>25649.670000000006</v>
      </c>
      <c r="N796" s="9">
        <f t="shared" si="150"/>
        <v>503046.45999999996</v>
      </c>
    </row>
    <row r="797" spans="1:14" ht="4.95" customHeight="1" x14ac:dyDescent="0.2"/>
    <row r="798" spans="1:14" ht="4.95" customHeight="1" x14ac:dyDescent="0.2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</row>
    <row r="799" spans="1:14" ht="4.95" customHeight="1" x14ac:dyDescent="0.2"/>
    <row r="800" spans="1:14" x14ac:dyDescent="0.2">
      <c r="A800" s="16" t="s">
        <v>500</v>
      </c>
      <c r="B800" s="9">
        <f t="shared" ref="B800:N800" si="151">B773+B796</f>
        <v>91579.14</v>
      </c>
      <c r="C800" s="9">
        <f t="shared" si="151"/>
        <v>86208.09</v>
      </c>
      <c r="D800" s="9">
        <f t="shared" si="151"/>
        <v>111243.41</v>
      </c>
      <c r="E800" s="9">
        <f t="shared" si="151"/>
        <v>89942.1</v>
      </c>
      <c r="F800" s="9">
        <f t="shared" si="151"/>
        <v>86580.890000000014</v>
      </c>
      <c r="G800" s="9">
        <f t="shared" si="151"/>
        <v>71909.209999999992</v>
      </c>
      <c r="H800" s="9">
        <f t="shared" si="151"/>
        <v>87382.32</v>
      </c>
      <c r="I800" s="9">
        <f t="shared" si="151"/>
        <v>82349.240000000005</v>
      </c>
      <c r="J800" s="9">
        <f t="shared" si="151"/>
        <v>84015.88</v>
      </c>
      <c r="K800" s="9">
        <f t="shared" si="151"/>
        <v>86347.82</v>
      </c>
      <c r="L800" s="9">
        <f t="shared" si="151"/>
        <v>93972.62</v>
      </c>
      <c r="M800" s="9">
        <f t="shared" si="151"/>
        <v>70082.49000000002</v>
      </c>
      <c r="N800" s="9">
        <f t="shared" si="151"/>
        <v>1041613.2099999998</v>
      </c>
    </row>
    <row r="801" spans="1:14" ht="4.95" customHeight="1" x14ac:dyDescent="0.2"/>
    <row r="802" spans="1:14" x14ac:dyDescent="0.2">
      <c r="A802" s="16" t="s">
        <v>501</v>
      </c>
      <c r="B802" s="9">
        <f t="shared" ref="B802:N802" si="152">B800</f>
        <v>91579.14</v>
      </c>
      <c r="C802" s="9">
        <f t="shared" si="152"/>
        <v>86208.09</v>
      </c>
      <c r="D802" s="9">
        <f t="shared" si="152"/>
        <v>111243.41</v>
      </c>
      <c r="E802" s="9">
        <f t="shared" si="152"/>
        <v>89942.1</v>
      </c>
      <c r="F802" s="9">
        <f t="shared" si="152"/>
        <v>86580.890000000014</v>
      </c>
      <c r="G802" s="9">
        <f t="shared" si="152"/>
        <v>71909.209999999992</v>
      </c>
      <c r="H802" s="9">
        <f t="shared" si="152"/>
        <v>87382.32</v>
      </c>
      <c r="I802" s="9">
        <f t="shared" si="152"/>
        <v>82349.240000000005</v>
      </c>
      <c r="J802" s="9">
        <f t="shared" si="152"/>
        <v>84015.88</v>
      </c>
      <c r="K802" s="9">
        <f t="shared" si="152"/>
        <v>86347.82</v>
      </c>
      <c r="L802" s="9">
        <f t="shared" si="152"/>
        <v>93972.62</v>
      </c>
      <c r="M802" s="9">
        <f t="shared" si="152"/>
        <v>70082.49000000002</v>
      </c>
      <c r="N802" s="9">
        <f t="shared" si="152"/>
        <v>1041613.2099999998</v>
      </c>
    </row>
    <row r="803" spans="1:14" ht="4.95" customHeight="1" x14ac:dyDescent="0.2"/>
    <row r="804" spans="1:14" x14ac:dyDescent="0.2">
      <c r="A804" s="16" t="s">
        <v>35</v>
      </c>
    </row>
    <row r="806" spans="1:14" x14ac:dyDescent="0.2">
      <c r="A806" s="16" t="s">
        <v>502</v>
      </c>
    </row>
    <row r="807" spans="1:14" x14ac:dyDescent="0.2">
      <c r="A807" s="16" t="s">
        <v>503</v>
      </c>
    </row>
    <row r="808" spans="1:14" x14ac:dyDescent="0.2">
      <c r="A808" s="17" t="s">
        <v>504</v>
      </c>
      <c r="B808" s="10">
        <v>0</v>
      </c>
      <c r="C808" s="10">
        <v>0</v>
      </c>
      <c r="D808" s="10">
        <v>0</v>
      </c>
      <c r="E808" s="10">
        <v>0</v>
      </c>
      <c r="F808" s="10">
        <v>0</v>
      </c>
      <c r="G808" s="10">
        <v>196.3</v>
      </c>
      <c r="H808" s="10">
        <v>196.3</v>
      </c>
      <c r="I808" s="10">
        <v>196.3</v>
      </c>
      <c r="J808" s="10">
        <v>196.3</v>
      </c>
      <c r="K808" s="10">
        <v>3617.36</v>
      </c>
      <c r="L808" s="10">
        <v>827.22</v>
      </c>
      <c r="M808" s="10">
        <v>827.21</v>
      </c>
      <c r="N808" s="10">
        <f>B808+C808+D808+E808+F808+G808+H808+I808+J808+K808+L808+M808</f>
        <v>6056.9900000000007</v>
      </c>
    </row>
    <row r="809" spans="1:14" x14ac:dyDescent="0.2">
      <c r="A809" s="17" t="s">
        <v>505</v>
      </c>
      <c r="B809" s="10">
        <v>4158.21</v>
      </c>
      <c r="C809" s="10">
        <v>3625.87</v>
      </c>
      <c r="D809" s="10">
        <v>3634.41</v>
      </c>
      <c r="E809" s="10">
        <v>3634.41</v>
      </c>
      <c r="F809" s="10">
        <v>3634.41</v>
      </c>
      <c r="G809" s="10">
        <v>4185.3999999999996</v>
      </c>
      <c r="H809" s="10">
        <v>4185.3999999999996</v>
      </c>
      <c r="I809" s="10">
        <v>4185.3999999999996</v>
      </c>
      <c r="J809" s="10">
        <v>4185.3999999999996</v>
      </c>
      <c r="K809" s="10">
        <v>11731.93</v>
      </c>
      <c r="L809" s="10">
        <v>3474.78</v>
      </c>
      <c r="M809" s="10">
        <v>3474.78</v>
      </c>
      <c r="N809" s="10">
        <f>B809+C809+D809+E809+F809+G809+H809+I809+J809+K809+L809+M809</f>
        <v>54110.400000000001</v>
      </c>
    </row>
    <row r="810" spans="1:14" ht="4.95" customHeight="1" x14ac:dyDescent="0.2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</row>
    <row r="811" spans="1:14" ht="4.95" customHeight="1" x14ac:dyDescent="0.2"/>
    <row r="812" spans="1:14" x14ac:dyDescent="0.2">
      <c r="A812" s="16" t="s">
        <v>506</v>
      </c>
      <c r="B812" s="9">
        <f t="shared" ref="B812:N812" si="153">SUM(B808:B809)</f>
        <v>4158.21</v>
      </c>
      <c r="C812" s="9">
        <f t="shared" si="153"/>
        <v>3625.87</v>
      </c>
      <c r="D812" s="9">
        <f t="shared" si="153"/>
        <v>3634.41</v>
      </c>
      <c r="E812" s="9">
        <f t="shared" si="153"/>
        <v>3634.41</v>
      </c>
      <c r="F812" s="9">
        <f t="shared" si="153"/>
        <v>3634.41</v>
      </c>
      <c r="G812" s="9">
        <f t="shared" si="153"/>
        <v>4381.7</v>
      </c>
      <c r="H812" s="9">
        <f t="shared" si="153"/>
        <v>4381.7</v>
      </c>
      <c r="I812" s="9">
        <f t="shared" si="153"/>
        <v>4381.7</v>
      </c>
      <c r="J812" s="9">
        <f t="shared" si="153"/>
        <v>4381.7</v>
      </c>
      <c r="K812" s="9">
        <f t="shared" si="153"/>
        <v>15349.29</v>
      </c>
      <c r="L812" s="9">
        <f t="shared" si="153"/>
        <v>4302</v>
      </c>
      <c r="M812" s="9">
        <f t="shared" si="153"/>
        <v>4301.99</v>
      </c>
      <c r="N812" s="9">
        <f t="shared" si="153"/>
        <v>60167.39</v>
      </c>
    </row>
    <row r="813" spans="1:14" ht="4.95" customHeight="1" x14ac:dyDescent="0.2"/>
    <row r="814" spans="1:14" x14ac:dyDescent="0.2">
      <c r="A814" s="16" t="s">
        <v>114</v>
      </c>
    </row>
    <row r="815" spans="1:14" x14ac:dyDescent="0.2">
      <c r="A815" s="17" t="s">
        <v>507</v>
      </c>
      <c r="B815" s="10">
        <v>0</v>
      </c>
      <c r="C815" s="10">
        <v>0</v>
      </c>
      <c r="D815" s="10">
        <v>0</v>
      </c>
      <c r="E815" s="10">
        <v>0</v>
      </c>
      <c r="F815" s="10">
        <v>0</v>
      </c>
      <c r="G815" s="10">
        <v>0</v>
      </c>
      <c r="H815" s="10">
        <v>0</v>
      </c>
      <c r="I815" s="10">
        <v>0</v>
      </c>
      <c r="J815" s="10">
        <v>0</v>
      </c>
      <c r="K815" s="10">
        <v>971.42</v>
      </c>
      <c r="L815" s="10">
        <v>0</v>
      </c>
      <c r="M815" s="10">
        <v>0</v>
      </c>
      <c r="N815" s="10">
        <f>B815+C815+D815+E815+F815+G815+H815+I815+J815+K815+L815+M815</f>
        <v>971.42</v>
      </c>
    </row>
    <row r="816" spans="1:14" x14ac:dyDescent="0.2">
      <c r="A816" s="17" t="s">
        <v>508</v>
      </c>
      <c r="B816" s="10">
        <v>2895.26</v>
      </c>
      <c r="C816" s="10">
        <v>2776.06</v>
      </c>
      <c r="D816" s="10">
        <v>2781.41</v>
      </c>
      <c r="E816" s="10">
        <v>2781.45</v>
      </c>
      <c r="F816" s="10">
        <v>1080.68</v>
      </c>
      <c r="G816" s="10">
        <v>2300.1799999999998</v>
      </c>
      <c r="H816" s="10">
        <v>1668.75</v>
      </c>
      <c r="I816" s="10">
        <v>1668.8</v>
      </c>
      <c r="J816" s="10">
        <v>1609.54</v>
      </c>
      <c r="K816" s="10">
        <v>1607.41</v>
      </c>
      <c r="L816" s="10">
        <v>2072.13</v>
      </c>
      <c r="M816" s="10">
        <v>-2750.79</v>
      </c>
      <c r="N816" s="10">
        <f>B816+C816+D816+E816+F816+G816+H816+I816+J816+K816+L816+M816</f>
        <v>20490.88</v>
      </c>
    </row>
    <row r="817" spans="1:14" ht="4.95" customHeight="1" x14ac:dyDescent="0.2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</row>
    <row r="818" spans="1:14" ht="4.95" customHeight="1" x14ac:dyDescent="0.2"/>
    <row r="819" spans="1:14" x14ac:dyDescent="0.2">
      <c r="A819" s="16" t="s">
        <v>139</v>
      </c>
      <c r="B819" s="9">
        <f t="shared" ref="B819:N819" si="154">SUM(B815:B816)</f>
        <v>2895.26</v>
      </c>
      <c r="C819" s="9">
        <f t="shared" si="154"/>
        <v>2776.06</v>
      </c>
      <c r="D819" s="9">
        <f t="shared" si="154"/>
        <v>2781.41</v>
      </c>
      <c r="E819" s="9">
        <f t="shared" si="154"/>
        <v>2781.45</v>
      </c>
      <c r="F819" s="9">
        <f t="shared" si="154"/>
        <v>1080.68</v>
      </c>
      <c r="G819" s="9">
        <f t="shared" si="154"/>
        <v>2300.1799999999998</v>
      </c>
      <c r="H819" s="9">
        <f t="shared" si="154"/>
        <v>1668.75</v>
      </c>
      <c r="I819" s="9">
        <f t="shared" si="154"/>
        <v>1668.8</v>
      </c>
      <c r="J819" s="9">
        <f t="shared" si="154"/>
        <v>1609.54</v>
      </c>
      <c r="K819" s="9">
        <f t="shared" si="154"/>
        <v>2578.83</v>
      </c>
      <c r="L819" s="9">
        <f t="shared" si="154"/>
        <v>2072.13</v>
      </c>
      <c r="M819" s="9">
        <f t="shared" si="154"/>
        <v>-2750.79</v>
      </c>
      <c r="N819" s="9">
        <f t="shared" si="154"/>
        <v>21462.3</v>
      </c>
    </row>
    <row r="820" spans="1:14" ht="4.95" customHeight="1" x14ac:dyDescent="0.2"/>
    <row r="821" spans="1:14" ht="4.95" customHeight="1" x14ac:dyDescent="0.2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</row>
    <row r="822" spans="1:14" ht="4.95" customHeight="1" x14ac:dyDescent="0.2"/>
    <row r="823" spans="1:14" x14ac:dyDescent="0.2">
      <c r="A823" s="16" t="s">
        <v>509</v>
      </c>
      <c r="B823" s="9">
        <f t="shared" ref="B823:N823" si="155">B812+B819</f>
        <v>7053.47</v>
      </c>
      <c r="C823" s="9">
        <f t="shared" si="155"/>
        <v>6401.93</v>
      </c>
      <c r="D823" s="9">
        <f t="shared" si="155"/>
        <v>6415.82</v>
      </c>
      <c r="E823" s="9">
        <f t="shared" si="155"/>
        <v>6415.86</v>
      </c>
      <c r="F823" s="9">
        <f t="shared" si="155"/>
        <v>4715.09</v>
      </c>
      <c r="G823" s="9">
        <f t="shared" si="155"/>
        <v>6681.8799999999992</v>
      </c>
      <c r="H823" s="9">
        <f t="shared" si="155"/>
        <v>6050.45</v>
      </c>
      <c r="I823" s="9">
        <f t="shared" si="155"/>
        <v>6050.5</v>
      </c>
      <c r="J823" s="9">
        <f t="shared" si="155"/>
        <v>5991.24</v>
      </c>
      <c r="K823" s="9">
        <f t="shared" si="155"/>
        <v>17928.120000000003</v>
      </c>
      <c r="L823" s="9">
        <f t="shared" si="155"/>
        <v>6374.13</v>
      </c>
      <c r="M823" s="9">
        <f t="shared" si="155"/>
        <v>1551.1999999999998</v>
      </c>
      <c r="N823" s="9">
        <f t="shared" si="155"/>
        <v>81629.69</v>
      </c>
    </row>
    <row r="825" spans="1:14" x14ac:dyDescent="0.2">
      <c r="A825" s="16" t="s">
        <v>502</v>
      </c>
    </row>
    <row r="826" spans="1:14" x14ac:dyDescent="0.2">
      <c r="A826" s="17" t="s">
        <v>510</v>
      </c>
      <c r="B826" s="10">
        <v>2989.06</v>
      </c>
      <c r="C826" s="10">
        <v>2993.74</v>
      </c>
      <c r="D826" s="10">
        <v>2985.52</v>
      </c>
      <c r="E826" s="10">
        <v>2983.25</v>
      </c>
      <c r="F826" s="10">
        <v>2986.67</v>
      </c>
      <c r="G826" s="10">
        <v>2990.11</v>
      </c>
      <c r="H826" s="10">
        <v>2982.41</v>
      </c>
      <c r="I826" s="10">
        <v>2985.62</v>
      </c>
      <c r="J826" s="10">
        <v>2964.65</v>
      </c>
      <c r="K826" s="10">
        <v>2979.87</v>
      </c>
      <c r="L826" s="10">
        <v>2964.11</v>
      </c>
      <c r="M826" s="10">
        <v>2956.29</v>
      </c>
      <c r="N826" s="10">
        <f>B826+C826+D826+E826+F826+G826+H826+I826+J826+K826+L826+M826</f>
        <v>35761.299999999996</v>
      </c>
    </row>
    <row r="827" spans="1:14" x14ac:dyDescent="0.2">
      <c r="A827" s="17" t="s">
        <v>511</v>
      </c>
      <c r="B827" s="10">
        <v>400</v>
      </c>
      <c r="C827" s="10">
        <v>400</v>
      </c>
      <c r="D827" s="10">
        <v>400</v>
      </c>
      <c r="E827" s="10">
        <v>400</v>
      </c>
      <c r="F827" s="10">
        <v>400</v>
      </c>
      <c r="G827" s="10">
        <v>400</v>
      </c>
      <c r="H827" s="10">
        <v>400</v>
      </c>
      <c r="I827" s="10">
        <v>400</v>
      </c>
      <c r="J827" s="10">
        <v>400</v>
      </c>
      <c r="K827" s="10">
        <v>400</v>
      </c>
      <c r="L827" s="10">
        <v>400</v>
      </c>
      <c r="M827" s="10">
        <v>400</v>
      </c>
      <c r="N827" s="10">
        <f>B827+C827+D827+E827+F827+G827+H827+I827+J827+K827+L827+M827</f>
        <v>4800</v>
      </c>
    </row>
    <row r="828" spans="1:14" x14ac:dyDescent="0.2">
      <c r="A828" s="17" t="s">
        <v>512</v>
      </c>
      <c r="B828" s="10">
        <v>650</v>
      </c>
      <c r="C828" s="10">
        <v>650</v>
      </c>
      <c r="D828" s="10">
        <v>650</v>
      </c>
      <c r="E828" s="10">
        <v>650</v>
      </c>
      <c r="F828" s="10">
        <v>650</v>
      </c>
      <c r="G828" s="10">
        <v>650</v>
      </c>
      <c r="H828" s="10">
        <v>650</v>
      </c>
      <c r="I828" s="10">
        <v>650</v>
      </c>
      <c r="J828" s="10">
        <v>650</v>
      </c>
      <c r="K828" s="10">
        <v>650</v>
      </c>
      <c r="L828" s="10">
        <v>650</v>
      </c>
      <c r="M828" s="10">
        <v>650</v>
      </c>
      <c r="N828" s="10">
        <f>B828+C828+D828+E828+F828+G828+H828+I828+J828+K828+L828+M828</f>
        <v>7800</v>
      </c>
    </row>
    <row r="829" spans="1:14" ht="4.95" customHeight="1" x14ac:dyDescent="0.2"/>
    <row r="830" spans="1:14" ht="4.95" customHeight="1" x14ac:dyDescent="0.2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</row>
    <row r="831" spans="1:14" ht="4.95" customHeight="1" x14ac:dyDescent="0.2"/>
    <row r="832" spans="1:14" x14ac:dyDescent="0.2">
      <c r="A832" s="16" t="s">
        <v>509</v>
      </c>
      <c r="B832" s="9">
        <f t="shared" ref="B832:N832" si="156">SUM(B826:B828)</f>
        <v>4039.06</v>
      </c>
      <c r="C832" s="9">
        <f t="shared" si="156"/>
        <v>4043.74</v>
      </c>
      <c r="D832" s="9">
        <f t="shared" si="156"/>
        <v>4035.52</v>
      </c>
      <c r="E832" s="9">
        <f t="shared" si="156"/>
        <v>4033.25</v>
      </c>
      <c r="F832" s="9">
        <f t="shared" si="156"/>
        <v>4036.67</v>
      </c>
      <c r="G832" s="9">
        <f t="shared" si="156"/>
        <v>4040.11</v>
      </c>
      <c r="H832" s="9">
        <f t="shared" si="156"/>
        <v>4032.41</v>
      </c>
      <c r="I832" s="9">
        <f t="shared" si="156"/>
        <v>4035.62</v>
      </c>
      <c r="J832" s="9">
        <f t="shared" si="156"/>
        <v>4014.65</v>
      </c>
      <c r="K832" s="9">
        <f t="shared" si="156"/>
        <v>4029.87</v>
      </c>
      <c r="L832" s="9">
        <f t="shared" si="156"/>
        <v>4014.11</v>
      </c>
      <c r="M832" s="9">
        <f t="shared" si="156"/>
        <v>4006.29</v>
      </c>
      <c r="N832" s="9">
        <f t="shared" si="156"/>
        <v>48361.299999999996</v>
      </c>
    </row>
    <row r="833" spans="1:14" ht="4.95" customHeight="1" x14ac:dyDescent="0.2"/>
    <row r="834" spans="1:14" x14ac:dyDescent="0.2">
      <c r="A834" s="16" t="s">
        <v>513</v>
      </c>
      <c r="B834" s="9">
        <f t="shared" ref="B834:N834" si="157">B823+B832</f>
        <v>11092.53</v>
      </c>
      <c r="C834" s="9">
        <f t="shared" si="157"/>
        <v>10445.67</v>
      </c>
      <c r="D834" s="9">
        <f t="shared" si="157"/>
        <v>10451.34</v>
      </c>
      <c r="E834" s="9">
        <f t="shared" si="157"/>
        <v>10449.11</v>
      </c>
      <c r="F834" s="9">
        <f t="shared" si="157"/>
        <v>8751.76</v>
      </c>
      <c r="G834" s="9">
        <f t="shared" si="157"/>
        <v>10721.99</v>
      </c>
      <c r="H834" s="9">
        <f t="shared" si="157"/>
        <v>10082.86</v>
      </c>
      <c r="I834" s="9">
        <f t="shared" si="157"/>
        <v>10086.119999999999</v>
      </c>
      <c r="J834" s="9">
        <f t="shared" si="157"/>
        <v>10005.89</v>
      </c>
      <c r="K834" s="9">
        <f t="shared" si="157"/>
        <v>21957.99</v>
      </c>
      <c r="L834" s="9">
        <f t="shared" si="157"/>
        <v>10388.24</v>
      </c>
      <c r="M834" s="9">
        <f t="shared" si="157"/>
        <v>5557.49</v>
      </c>
      <c r="N834" s="9">
        <f t="shared" si="157"/>
        <v>129990.98999999999</v>
      </c>
    </row>
    <row r="835" spans="1:14" ht="4.95" customHeight="1" x14ac:dyDescent="0.2"/>
    <row r="836" spans="1:14" x14ac:dyDescent="0.2">
      <c r="A836" s="16" t="s">
        <v>36</v>
      </c>
    </row>
    <row r="838" spans="1:14" x14ac:dyDescent="0.2">
      <c r="A838" s="16" t="s">
        <v>514</v>
      </c>
    </row>
    <row r="839" spans="1:14" x14ac:dyDescent="0.2">
      <c r="A839" s="16" t="s">
        <v>515</v>
      </c>
    </row>
    <row r="841" spans="1:14" x14ac:dyDescent="0.2">
      <c r="A841" s="16" t="s">
        <v>516</v>
      </c>
    </row>
    <row r="842" spans="1:14" x14ac:dyDescent="0.2">
      <c r="A842" s="16" t="s">
        <v>517</v>
      </c>
    </row>
    <row r="843" spans="1:14" x14ac:dyDescent="0.2">
      <c r="A843" s="17" t="s">
        <v>518</v>
      </c>
      <c r="B843" s="10">
        <v>0</v>
      </c>
      <c r="C843" s="10">
        <v>0</v>
      </c>
      <c r="D843" s="10">
        <v>0</v>
      </c>
      <c r="E843" s="10">
        <v>0</v>
      </c>
      <c r="F843" s="10">
        <v>500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f>B843+C843+D843+E843+F843+G843+H843+I843+J843+K843+L843+M843</f>
        <v>500</v>
      </c>
    </row>
    <row r="844" spans="1:14" x14ac:dyDescent="0.2">
      <c r="A844" s="17" t="s">
        <v>519</v>
      </c>
      <c r="B844" s="10">
        <v>7795.68</v>
      </c>
      <c r="C844" s="10">
        <v>17000.48</v>
      </c>
      <c r="D844" s="10">
        <v>13842.08</v>
      </c>
      <c r="E844" s="10">
        <v>11193.6</v>
      </c>
      <c r="F844" s="10">
        <v>11702.4</v>
      </c>
      <c r="G844" s="10">
        <v>9158.4</v>
      </c>
      <c r="H844" s="10">
        <v>10176</v>
      </c>
      <c r="I844" s="10">
        <v>10176</v>
      </c>
      <c r="J844" s="10">
        <v>9667.2000000000007</v>
      </c>
      <c r="K844" s="10">
        <v>10684.8</v>
      </c>
      <c r="L844" s="10">
        <v>10176</v>
      </c>
      <c r="M844" s="10">
        <v>8649.6</v>
      </c>
      <c r="N844" s="10">
        <f>B844+C844+D844+E844+F844+G844+H844+I844+J844+K844+L844+M844</f>
        <v>130222.24</v>
      </c>
    </row>
    <row r="845" spans="1:14" x14ac:dyDescent="0.2">
      <c r="A845" s="16" t="s">
        <v>520</v>
      </c>
      <c r="B845" s="9">
        <f t="shared" ref="B845:N845" si="158">SUM(B843:B844)</f>
        <v>7795.68</v>
      </c>
      <c r="C845" s="9">
        <f t="shared" si="158"/>
        <v>17000.48</v>
      </c>
      <c r="D845" s="9">
        <f t="shared" si="158"/>
        <v>13842.08</v>
      </c>
      <c r="E845" s="9">
        <f t="shared" si="158"/>
        <v>11193.6</v>
      </c>
      <c r="F845" s="9">
        <f t="shared" si="158"/>
        <v>12202.4</v>
      </c>
      <c r="G845" s="9">
        <f t="shared" si="158"/>
        <v>9158.4</v>
      </c>
      <c r="H845" s="9">
        <f t="shared" si="158"/>
        <v>10176</v>
      </c>
      <c r="I845" s="9">
        <f t="shared" si="158"/>
        <v>10176</v>
      </c>
      <c r="J845" s="9">
        <f t="shared" si="158"/>
        <v>9667.2000000000007</v>
      </c>
      <c r="K845" s="9">
        <f t="shared" si="158"/>
        <v>10684.8</v>
      </c>
      <c r="L845" s="9">
        <f t="shared" si="158"/>
        <v>10176</v>
      </c>
      <c r="M845" s="9">
        <f t="shared" si="158"/>
        <v>8649.6</v>
      </c>
      <c r="N845" s="9">
        <f t="shared" si="158"/>
        <v>130722.24000000001</v>
      </c>
    </row>
    <row r="847" spans="1:14" x14ac:dyDescent="0.2">
      <c r="A847" s="16" t="s">
        <v>521</v>
      </c>
    </row>
    <row r="848" spans="1:14" x14ac:dyDescent="0.2">
      <c r="A848" s="17" t="s">
        <v>522</v>
      </c>
      <c r="B848" s="10">
        <v>17217.599999999999</v>
      </c>
      <c r="C848" s="10">
        <v>16004.32</v>
      </c>
      <c r="D848" s="10">
        <v>18238.240000000002</v>
      </c>
      <c r="E848" s="10">
        <v>23852.48</v>
      </c>
      <c r="F848" s="10">
        <v>32284.400000000001</v>
      </c>
      <c r="G848" s="10">
        <v>21615.439999999999</v>
      </c>
      <c r="H848" s="10">
        <v>20370.080000000002</v>
      </c>
      <c r="I848" s="10">
        <v>18546.72</v>
      </c>
      <c r="J848" s="10">
        <v>18210.560000000001</v>
      </c>
      <c r="K848" s="10">
        <v>27595.040000000001</v>
      </c>
      <c r="L848" s="10">
        <v>26578.959999999999</v>
      </c>
      <c r="M848" s="10">
        <v>15361.68</v>
      </c>
      <c r="N848" s="10">
        <f>B848+C848+D848+E848+F848+G848+H848+I848+J848+K848+L848+M848</f>
        <v>255875.52</v>
      </c>
    </row>
    <row r="849" spans="1:14" x14ac:dyDescent="0.2">
      <c r="A849" s="16" t="s">
        <v>523</v>
      </c>
      <c r="B849" s="9">
        <f t="shared" ref="B849:N849" si="159">B848</f>
        <v>17217.599999999999</v>
      </c>
      <c r="C849" s="9">
        <f t="shared" si="159"/>
        <v>16004.32</v>
      </c>
      <c r="D849" s="9">
        <f t="shared" si="159"/>
        <v>18238.240000000002</v>
      </c>
      <c r="E849" s="9">
        <f t="shared" si="159"/>
        <v>23852.48</v>
      </c>
      <c r="F849" s="9">
        <f t="shared" si="159"/>
        <v>32284.400000000001</v>
      </c>
      <c r="G849" s="9">
        <f t="shared" si="159"/>
        <v>21615.439999999999</v>
      </c>
      <c r="H849" s="9">
        <f t="shared" si="159"/>
        <v>20370.080000000002</v>
      </c>
      <c r="I849" s="9">
        <f t="shared" si="159"/>
        <v>18546.72</v>
      </c>
      <c r="J849" s="9">
        <f t="shared" si="159"/>
        <v>18210.560000000001</v>
      </c>
      <c r="K849" s="9">
        <f t="shared" si="159"/>
        <v>27595.040000000001</v>
      </c>
      <c r="L849" s="9">
        <f t="shared" si="159"/>
        <v>26578.959999999999</v>
      </c>
      <c r="M849" s="9">
        <f t="shared" si="159"/>
        <v>15361.68</v>
      </c>
      <c r="N849" s="9">
        <f t="shared" si="159"/>
        <v>255875.52</v>
      </c>
    </row>
    <row r="850" spans="1:14" x14ac:dyDescent="0.2">
      <c r="A850" s="16" t="s">
        <v>524</v>
      </c>
      <c r="B850" s="9">
        <f t="shared" ref="B850:N850" si="160">B845+B849</f>
        <v>25013.279999999999</v>
      </c>
      <c r="C850" s="9">
        <f t="shared" si="160"/>
        <v>33004.800000000003</v>
      </c>
      <c r="D850" s="9">
        <f t="shared" si="160"/>
        <v>32080.32</v>
      </c>
      <c r="E850" s="9">
        <f t="shared" si="160"/>
        <v>35046.080000000002</v>
      </c>
      <c r="F850" s="9">
        <f t="shared" si="160"/>
        <v>44486.8</v>
      </c>
      <c r="G850" s="9">
        <f t="shared" si="160"/>
        <v>30773.839999999997</v>
      </c>
      <c r="H850" s="9">
        <f t="shared" si="160"/>
        <v>30546.080000000002</v>
      </c>
      <c r="I850" s="9">
        <f t="shared" si="160"/>
        <v>28722.720000000001</v>
      </c>
      <c r="J850" s="9">
        <f t="shared" si="160"/>
        <v>27877.760000000002</v>
      </c>
      <c r="K850" s="9">
        <f t="shared" si="160"/>
        <v>38279.839999999997</v>
      </c>
      <c r="L850" s="9">
        <f t="shared" si="160"/>
        <v>36754.959999999999</v>
      </c>
      <c r="M850" s="9">
        <f t="shared" si="160"/>
        <v>24011.279999999999</v>
      </c>
      <c r="N850" s="9">
        <f t="shared" si="160"/>
        <v>386597.76</v>
      </c>
    </row>
    <row r="852" spans="1:14" x14ac:dyDescent="0.2">
      <c r="A852" s="16" t="s">
        <v>525</v>
      </c>
    </row>
    <row r="853" spans="1:14" x14ac:dyDescent="0.2">
      <c r="A853" s="17" t="s">
        <v>526</v>
      </c>
      <c r="B853" s="10">
        <v>250</v>
      </c>
      <c r="C853" s="10">
        <v>0</v>
      </c>
      <c r="D853" s="10">
        <v>10053.75</v>
      </c>
      <c r="E853" s="10">
        <v>0</v>
      </c>
      <c r="F853" s="10">
        <v>0</v>
      </c>
      <c r="G853" s="10">
        <v>0</v>
      </c>
      <c r="H853" s="10">
        <v>0</v>
      </c>
      <c r="I853" s="10">
        <v>0</v>
      </c>
      <c r="J853" s="10">
        <v>8451.42</v>
      </c>
      <c r="K853" s="10">
        <v>0</v>
      </c>
      <c r="L853" s="10">
        <v>0</v>
      </c>
      <c r="M853" s="10">
        <v>0</v>
      </c>
      <c r="N853" s="10">
        <f t="shared" ref="N853:N859" si="161">B853+C853+D853+E853+F853+G853+H853+I853+J853+K853+L853+M853</f>
        <v>18755.169999999998</v>
      </c>
    </row>
    <row r="854" spans="1:14" x14ac:dyDescent="0.2">
      <c r="A854" s="17" t="s">
        <v>527</v>
      </c>
      <c r="B854" s="10">
        <v>1894.2</v>
      </c>
      <c r="C854" s="10">
        <v>2815.38</v>
      </c>
      <c r="D854" s="10">
        <v>4115.76</v>
      </c>
      <c r="E854" s="10">
        <v>1327.18</v>
      </c>
      <c r="F854" s="10">
        <v>3278.94</v>
      </c>
      <c r="G854" s="10">
        <v>2467.1</v>
      </c>
      <c r="H854" s="10">
        <v>1764.31</v>
      </c>
      <c r="I854" s="10">
        <v>2905.18</v>
      </c>
      <c r="J854" s="10">
        <v>2221.7800000000002</v>
      </c>
      <c r="K854" s="10">
        <v>2683.59</v>
      </c>
      <c r="L854" s="10">
        <v>2655.8</v>
      </c>
      <c r="M854" s="10">
        <v>1760.6</v>
      </c>
      <c r="N854" s="10">
        <f t="shared" si="161"/>
        <v>29889.82</v>
      </c>
    </row>
    <row r="855" spans="1:14" x14ac:dyDescent="0.2">
      <c r="A855" s="17" t="s">
        <v>528</v>
      </c>
      <c r="B855" s="10">
        <v>142.74</v>
      </c>
      <c r="C855" s="10">
        <v>173.29</v>
      </c>
      <c r="D855" s="10">
        <v>160.99</v>
      </c>
      <c r="E855" s="10">
        <v>184.97</v>
      </c>
      <c r="F855" s="10">
        <v>226.96</v>
      </c>
      <c r="G855" s="10">
        <v>177.13</v>
      </c>
      <c r="H855" s="10">
        <v>161.87</v>
      </c>
      <c r="I855" s="10">
        <v>146.37</v>
      </c>
      <c r="J855" s="10">
        <v>144.16</v>
      </c>
      <c r="K855" s="10">
        <v>184.11</v>
      </c>
      <c r="L855" s="10">
        <v>172.53</v>
      </c>
      <c r="M855" s="10">
        <v>133.77000000000001</v>
      </c>
      <c r="N855" s="10">
        <f t="shared" si="161"/>
        <v>2008.8899999999996</v>
      </c>
    </row>
    <row r="856" spans="1:14" x14ac:dyDescent="0.2">
      <c r="A856" s="17" t="s">
        <v>529</v>
      </c>
      <c r="B856" s="10">
        <v>561.96</v>
      </c>
      <c r="C856" s="10">
        <v>676.82</v>
      </c>
      <c r="D856" s="10">
        <v>473.43</v>
      </c>
      <c r="E856" s="10">
        <v>808.98</v>
      </c>
      <c r="F856" s="10">
        <v>772.53</v>
      </c>
      <c r="G856" s="10">
        <v>549.08000000000004</v>
      </c>
      <c r="H856" s="10">
        <v>453.94</v>
      </c>
      <c r="I856" s="10">
        <v>519.89</v>
      </c>
      <c r="J856" s="10">
        <v>643.45000000000005</v>
      </c>
      <c r="K856" s="10">
        <v>676.26</v>
      </c>
      <c r="L856" s="10">
        <v>646.78</v>
      </c>
      <c r="M856" s="10">
        <v>590.44000000000005</v>
      </c>
      <c r="N856" s="10">
        <f t="shared" si="161"/>
        <v>7373.5599999999995</v>
      </c>
    </row>
    <row r="857" spans="1:14" x14ac:dyDescent="0.2">
      <c r="A857" s="17" t="s">
        <v>530</v>
      </c>
      <c r="B857" s="10">
        <v>3146.96</v>
      </c>
      <c r="C857" s="10">
        <v>673.3</v>
      </c>
      <c r="D857" s="10">
        <v>217.92</v>
      </c>
      <c r="E857" s="10">
        <v>0</v>
      </c>
      <c r="F857" s="10">
        <v>1540.4</v>
      </c>
      <c r="G857" s="10">
        <v>0</v>
      </c>
      <c r="H857" s="10">
        <v>1216.24</v>
      </c>
      <c r="I857" s="10">
        <v>2285.1999999999998</v>
      </c>
      <c r="J857" s="10">
        <v>0</v>
      </c>
      <c r="K857" s="10">
        <v>1267.5999999999999</v>
      </c>
      <c r="L857" s="10">
        <v>0</v>
      </c>
      <c r="M857" s="10">
        <v>250</v>
      </c>
      <c r="N857" s="10">
        <f t="shared" si="161"/>
        <v>10597.62</v>
      </c>
    </row>
    <row r="858" spans="1:14" x14ac:dyDescent="0.2">
      <c r="A858" s="17" t="s">
        <v>531</v>
      </c>
      <c r="B858" s="10">
        <v>2171.6</v>
      </c>
      <c r="C858" s="10">
        <v>1555</v>
      </c>
      <c r="D858" s="10">
        <v>765.04</v>
      </c>
      <c r="E858" s="10">
        <v>227.04</v>
      </c>
      <c r="F858" s="10">
        <v>0</v>
      </c>
      <c r="G858" s="10">
        <v>0</v>
      </c>
      <c r="H858" s="10">
        <v>0</v>
      </c>
      <c r="I858" s="10">
        <v>250</v>
      </c>
      <c r="J858" s="10">
        <v>1066.8800000000001</v>
      </c>
      <c r="K858" s="10">
        <v>250</v>
      </c>
      <c r="L858" s="10">
        <v>508.8</v>
      </c>
      <c r="M858" s="10">
        <v>758.8</v>
      </c>
      <c r="N858" s="10">
        <f t="shared" si="161"/>
        <v>7553.16</v>
      </c>
    </row>
    <row r="859" spans="1:14" x14ac:dyDescent="0.2">
      <c r="A859" s="17" t="s">
        <v>532</v>
      </c>
      <c r="B859" s="10">
        <v>2463.6</v>
      </c>
      <c r="C859" s="10">
        <v>566.96</v>
      </c>
      <c r="D859" s="10">
        <v>0</v>
      </c>
      <c r="E859" s="10">
        <v>0</v>
      </c>
      <c r="F859" s="10">
        <v>0</v>
      </c>
      <c r="G859" s="10">
        <v>2395.52</v>
      </c>
      <c r="H859" s="10">
        <v>1351.6</v>
      </c>
      <c r="I859" s="10">
        <v>0</v>
      </c>
      <c r="J859" s="10">
        <v>1374.56</v>
      </c>
      <c r="K859" s="10">
        <v>0</v>
      </c>
      <c r="L859" s="10">
        <v>0</v>
      </c>
      <c r="M859" s="10">
        <v>1235.68</v>
      </c>
      <c r="N859" s="10">
        <f t="shared" si="161"/>
        <v>9387.92</v>
      </c>
    </row>
    <row r="860" spans="1:14" x14ac:dyDescent="0.2">
      <c r="A860" s="16" t="s">
        <v>533</v>
      </c>
      <c r="B860" s="9">
        <f t="shared" ref="B860:N860" si="162">SUM(B853:B859)</f>
        <v>10631.06</v>
      </c>
      <c r="C860" s="9">
        <f t="shared" si="162"/>
        <v>6460.75</v>
      </c>
      <c r="D860" s="9">
        <f t="shared" si="162"/>
        <v>15786.89</v>
      </c>
      <c r="E860" s="9">
        <f t="shared" si="162"/>
        <v>2548.17</v>
      </c>
      <c r="F860" s="9">
        <f t="shared" si="162"/>
        <v>5818.83</v>
      </c>
      <c r="G860" s="9">
        <f t="shared" si="162"/>
        <v>5588.83</v>
      </c>
      <c r="H860" s="9">
        <f t="shared" si="162"/>
        <v>4947.9599999999991</v>
      </c>
      <c r="I860" s="9">
        <f t="shared" si="162"/>
        <v>6106.6399999999994</v>
      </c>
      <c r="J860" s="9">
        <f t="shared" si="162"/>
        <v>13902.250000000002</v>
      </c>
      <c r="K860" s="9">
        <f t="shared" si="162"/>
        <v>5061.5599999999995</v>
      </c>
      <c r="L860" s="9">
        <f t="shared" si="162"/>
        <v>3983.9100000000008</v>
      </c>
      <c r="M860" s="9">
        <f t="shared" si="162"/>
        <v>4729.29</v>
      </c>
      <c r="N860" s="9">
        <f t="shared" si="162"/>
        <v>85566.14</v>
      </c>
    </row>
    <row r="861" spans="1:14" ht="4.95" customHeight="1" x14ac:dyDescent="0.2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</row>
    <row r="862" spans="1:14" ht="4.95" customHeight="1" x14ac:dyDescent="0.2"/>
    <row r="863" spans="1:14" x14ac:dyDescent="0.2">
      <c r="A863" s="16" t="s">
        <v>534</v>
      </c>
      <c r="B863" s="9">
        <f t="shared" ref="B863:N863" si="163">B850+B860</f>
        <v>35644.339999999997</v>
      </c>
      <c r="C863" s="9">
        <f t="shared" si="163"/>
        <v>39465.550000000003</v>
      </c>
      <c r="D863" s="9">
        <f t="shared" si="163"/>
        <v>47867.21</v>
      </c>
      <c r="E863" s="9">
        <f t="shared" si="163"/>
        <v>37594.25</v>
      </c>
      <c r="F863" s="9">
        <f t="shared" si="163"/>
        <v>50305.630000000005</v>
      </c>
      <c r="G863" s="9">
        <f t="shared" si="163"/>
        <v>36362.67</v>
      </c>
      <c r="H863" s="9">
        <f t="shared" si="163"/>
        <v>35494.04</v>
      </c>
      <c r="I863" s="9">
        <f t="shared" si="163"/>
        <v>34829.360000000001</v>
      </c>
      <c r="J863" s="9">
        <f t="shared" si="163"/>
        <v>41780.01</v>
      </c>
      <c r="K863" s="9">
        <f t="shared" si="163"/>
        <v>43341.399999999994</v>
      </c>
      <c r="L863" s="9">
        <f t="shared" si="163"/>
        <v>40738.870000000003</v>
      </c>
      <c r="M863" s="9">
        <f t="shared" si="163"/>
        <v>28740.57</v>
      </c>
      <c r="N863" s="9">
        <f t="shared" si="163"/>
        <v>472163.9</v>
      </c>
    </row>
    <row r="864" spans="1:14" ht="4.95" customHeight="1" x14ac:dyDescent="0.2"/>
    <row r="865" spans="1:14" x14ac:dyDescent="0.2">
      <c r="A865" s="16" t="s">
        <v>114</v>
      </c>
    </row>
    <row r="866" spans="1:14" x14ac:dyDescent="0.2">
      <c r="A866" s="17" t="s">
        <v>535</v>
      </c>
      <c r="B866" s="10">
        <v>0</v>
      </c>
      <c r="C866" s="10">
        <v>0</v>
      </c>
      <c r="D866" s="10">
        <v>0</v>
      </c>
      <c r="E866" s="10">
        <v>0</v>
      </c>
      <c r="F866" s="10">
        <v>0</v>
      </c>
      <c r="G866" s="10">
        <v>0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213.57</v>
      </c>
      <c r="N866" s="10">
        <f t="shared" ref="N866:N873" si="164">B866+C866+D866+E866+F866+G866+H866+I866+J866+K866+L866+M866</f>
        <v>213.57</v>
      </c>
    </row>
    <row r="867" spans="1:14" x14ac:dyDescent="0.2">
      <c r="A867" s="17" t="s">
        <v>536</v>
      </c>
      <c r="B867" s="10">
        <v>4964.83</v>
      </c>
      <c r="C867" s="10">
        <v>4250.6400000000003</v>
      </c>
      <c r="D867" s="10">
        <v>5006.2</v>
      </c>
      <c r="E867" s="10">
        <v>5522.29</v>
      </c>
      <c r="F867" s="10">
        <v>5590.39</v>
      </c>
      <c r="G867" s="10">
        <v>5570.86</v>
      </c>
      <c r="H867" s="10">
        <v>5610.37</v>
      </c>
      <c r="I867" s="10">
        <v>5582.95</v>
      </c>
      <c r="J867" s="10">
        <v>5572.36</v>
      </c>
      <c r="K867" s="10">
        <v>7070.82</v>
      </c>
      <c r="L867" s="10">
        <v>3872.36</v>
      </c>
      <c r="M867" s="10">
        <v>4353.96</v>
      </c>
      <c r="N867" s="10">
        <f t="shared" si="164"/>
        <v>62968.03</v>
      </c>
    </row>
    <row r="868" spans="1:14" x14ac:dyDescent="0.2">
      <c r="A868" s="17" t="s">
        <v>537</v>
      </c>
      <c r="B868" s="10">
        <v>499</v>
      </c>
      <c r="C868" s="10">
        <v>1034.44</v>
      </c>
      <c r="D868" s="10">
        <v>1420.2</v>
      </c>
      <c r="E868" s="10">
        <v>427.13</v>
      </c>
      <c r="F868" s="10">
        <v>745.49</v>
      </c>
      <c r="G868" s="10">
        <v>147.13</v>
      </c>
      <c r="H868" s="10">
        <v>412.13</v>
      </c>
      <c r="I868" s="10">
        <v>1580.23</v>
      </c>
      <c r="J868" s="10">
        <v>4444.25</v>
      </c>
      <c r="K868" s="10">
        <v>2292.5100000000002</v>
      </c>
      <c r="L868" s="10">
        <v>153.28</v>
      </c>
      <c r="M868" s="10">
        <v>0</v>
      </c>
      <c r="N868" s="10">
        <f t="shared" si="164"/>
        <v>13155.79</v>
      </c>
    </row>
    <row r="869" spans="1:14" x14ac:dyDescent="0.2">
      <c r="A869" s="17" t="s">
        <v>538</v>
      </c>
      <c r="B869" s="10">
        <v>223.82</v>
      </c>
      <c r="C869" s="10">
        <v>42.5</v>
      </c>
      <c r="D869" s="10">
        <v>116.25</v>
      </c>
      <c r="E869" s="10">
        <v>607.24</v>
      </c>
      <c r="F869" s="10">
        <v>331.93</v>
      </c>
      <c r="G869" s="10">
        <v>139.62</v>
      </c>
      <c r="H869" s="10">
        <v>0</v>
      </c>
      <c r="I869" s="10">
        <v>0</v>
      </c>
      <c r="J869" s="10">
        <v>378.4</v>
      </c>
      <c r="K869" s="10">
        <v>2.2799999999999998</v>
      </c>
      <c r="L869" s="10">
        <v>258.68</v>
      </c>
      <c r="M869" s="10">
        <v>80.14</v>
      </c>
      <c r="N869" s="10">
        <f t="shared" si="164"/>
        <v>2180.86</v>
      </c>
    </row>
    <row r="870" spans="1:14" x14ac:dyDescent="0.2">
      <c r="A870" s="17" t="s">
        <v>539</v>
      </c>
      <c r="B870" s="10">
        <v>0</v>
      </c>
      <c r="C870" s="10">
        <v>0</v>
      </c>
      <c r="D870" s="10">
        <v>0</v>
      </c>
      <c r="E870" s="10">
        <v>281.37</v>
      </c>
      <c r="F870" s="10">
        <v>124.42</v>
      </c>
      <c r="G870" s="10">
        <v>297.97000000000003</v>
      </c>
      <c r="H870" s="10">
        <v>0</v>
      </c>
      <c r="I870" s="10">
        <v>760.69</v>
      </c>
      <c r="J870" s="10">
        <v>245.2</v>
      </c>
      <c r="K870" s="10">
        <v>0</v>
      </c>
      <c r="L870" s="10">
        <v>0</v>
      </c>
      <c r="M870" s="10">
        <v>0</v>
      </c>
      <c r="N870" s="10">
        <f t="shared" si="164"/>
        <v>1709.65</v>
      </c>
    </row>
    <row r="871" spans="1:14" x14ac:dyDescent="0.2">
      <c r="A871" s="17" t="s">
        <v>540</v>
      </c>
      <c r="B871" s="10">
        <v>0</v>
      </c>
      <c r="C871" s="10">
        <v>0</v>
      </c>
      <c r="D871" s="10">
        <v>0</v>
      </c>
      <c r="E871" s="10">
        <v>0</v>
      </c>
      <c r="F871" s="10">
        <v>0</v>
      </c>
      <c r="G871" s="10">
        <v>750</v>
      </c>
      <c r="H871" s="10">
        <v>5500</v>
      </c>
      <c r="I871" s="10">
        <v>0</v>
      </c>
      <c r="J871" s="10">
        <v>0</v>
      </c>
      <c r="K871" s="10">
        <v>75</v>
      </c>
      <c r="L871" s="10">
        <v>100</v>
      </c>
      <c r="M871" s="10">
        <v>0</v>
      </c>
      <c r="N871" s="10">
        <f t="shared" si="164"/>
        <v>6425</v>
      </c>
    </row>
    <row r="872" spans="1:14" x14ac:dyDescent="0.2">
      <c r="A872" s="17" t="s">
        <v>541</v>
      </c>
      <c r="B872" s="10">
        <v>0</v>
      </c>
      <c r="C872" s="10">
        <v>1200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f t="shared" si="164"/>
        <v>1200</v>
      </c>
    </row>
    <row r="873" spans="1:14" x14ac:dyDescent="0.2">
      <c r="A873" s="17" t="s">
        <v>542</v>
      </c>
      <c r="B873" s="10">
        <v>0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0</v>
      </c>
      <c r="I873" s="10">
        <v>197.96</v>
      </c>
      <c r="J873" s="10">
        <v>405.35</v>
      </c>
      <c r="K873" s="10">
        <v>24.8</v>
      </c>
      <c r="L873" s="10">
        <v>15.2</v>
      </c>
      <c r="M873" s="10">
        <v>0</v>
      </c>
      <c r="N873" s="10">
        <f t="shared" si="164"/>
        <v>643.31000000000006</v>
      </c>
    </row>
    <row r="874" spans="1:14" ht="4.95" customHeight="1" x14ac:dyDescent="0.2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</row>
    <row r="875" spans="1:14" ht="4.95" customHeight="1" x14ac:dyDescent="0.2"/>
    <row r="876" spans="1:14" x14ac:dyDescent="0.2">
      <c r="A876" s="16" t="s">
        <v>139</v>
      </c>
      <c r="B876" s="9">
        <f t="shared" ref="B876:N876" si="165">SUM(B866:B873)</f>
        <v>5687.65</v>
      </c>
      <c r="C876" s="9">
        <f t="shared" si="165"/>
        <v>6527.58</v>
      </c>
      <c r="D876" s="9">
        <f t="shared" si="165"/>
        <v>6542.65</v>
      </c>
      <c r="E876" s="9">
        <f t="shared" si="165"/>
        <v>6838.03</v>
      </c>
      <c r="F876" s="9">
        <f t="shared" si="165"/>
        <v>6792.2300000000005</v>
      </c>
      <c r="G876" s="9">
        <f t="shared" si="165"/>
        <v>6905.58</v>
      </c>
      <c r="H876" s="9">
        <f t="shared" si="165"/>
        <v>11522.5</v>
      </c>
      <c r="I876" s="9">
        <f t="shared" si="165"/>
        <v>8121.8300000000008</v>
      </c>
      <c r="J876" s="9">
        <f t="shared" si="165"/>
        <v>11045.560000000001</v>
      </c>
      <c r="K876" s="9">
        <f t="shared" si="165"/>
        <v>9465.41</v>
      </c>
      <c r="L876" s="9">
        <f t="shared" si="165"/>
        <v>4399.5200000000004</v>
      </c>
      <c r="M876" s="9">
        <f t="shared" si="165"/>
        <v>4647.67</v>
      </c>
      <c r="N876" s="9">
        <f t="shared" si="165"/>
        <v>88496.209999999992</v>
      </c>
    </row>
    <row r="877" spans="1:14" ht="4.95" customHeight="1" x14ac:dyDescent="0.2"/>
    <row r="878" spans="1:14" ht="4.95" customHeight="1" x14ac:dyDescent="0.2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</row>
    <row r="879" spans="1:14" ht="4.95" customHeight="1" x14ac:dyDescent="0.2"/>
    <row r="880" spans="1:14" x14ac:dyDescent="0.2">
      <c r="A880" s="16" t="s">
        <v>543</v>
      </c>
      <c r="B880" s="9">
        <f t="shared" ref="B880:N880" si="166">B863+B876</f>
        <v>41331.99</v>
      </c>
      <c r="C880" s="9">
        <f t="shared" si="166"/>
        <v>45993.130000000005</v>
      </c>
      <c r="D880" s="9">
        <f t="shared" si="166"/>
        <v>54409.86</v>
      </c>
      <c r="E880" s="9">
        <f t="shared" si="166"/>
        <v>44432.28</v>
      </c>
      <c r="F880" s="9">
        <f t="shared" si="166"/>
        <v>57097.860000000008</v>
      </c>
      <c r="G880" s="9">
        <f t="shared" si="166"/>
        <v>43268.25</v>
      </c>
      <c r="H880" s="9">
        <f t="shared" si="166"/>
        <v>47016.54</v>
      </c>
      <c r="I880" s="9">
        <f t="shared" si="166"/>
        <v>42951.19</v>
      </c>
      <c r="J880" s="9">
        <f t="shared" si="166"/>
        <v>52825.570000000007</v>
      </c>
      <c r="K880" s="9">
        <f t="shared" si="166"/>
        <v>52806.81</v>
      </c>
      <c r="L880" s="9">
        <f t="shared" si="166"/>
        <v>45138.39</v>
      </c>
      <c r="M880" s="9">
        <f t="shared" si="166"/>
        <v>33388.239999999998</v>
      </c>
      <c r="N880" s="9">
        <f t="shared" si="166"/>
        <v>560660.11</v>
      </c>
    </row>
    <row r="881" spans="1:14" ht="4.95" customHeight="1" x14ac:dyDescent="0.2"/>
    <row r="882" spans="1:14" x14ac:dyDescent="0.2">
      <c r="A882" s="16" t="s">
        <v>544</v>
      </c>
      <c r="B882" s="9">
        <f t="shared" ref="B882:N882" si="167">B880</f>
        <v>41331.99</v>
      </c>
      <c r="C882" s="9">
        <f t="shared" si="167"/>
        <v>45993.130000000005</v>
      </c>
      <c r="D882" s="9">
        <f t="shared" si="167"/>
        <v>54409.86</v>
      </c>
      <c r="E882" s="9">
        <f t="shared" si="167"/>
        <v>44432.28</v>
      </c>
      <c r="F882" s="9">
        <f t="shared" si="167"/>
        <v>57097.860000000008</v>
      </c>
      <c r="G882" s="9">
        <f t="shared" si="167"/>
        <v>43268.25</v>
      </c>
      <c r="H882" s="9">
        <f t="shared" si="167"/>
        <v>47016.54</v>
      </c>
      <c r="I882" s="9">
        <f t="shared" si="167"/>
        <v>42951.19</v>
      </c>
      <c r="J882" s="9">
        <f t="shared" si="167"/>
        <v>52825.570000000007</v>
      </c>
      <c r="K882" s="9">
        <f t="shared" si="167"/>
        <v>52806.81</v>
      </c>
      <c r="L882" s="9">
        <f t="shared" si="167"/>
        <v>45138.39</v>
      </c>
      <c r="M882" s="9">
        <f t="shared" si="167"/>
        <v>33388.239999999998</v>
      </c>
      <c r="N882" s="9">
        <f t="shared" si="167"/>
        <v>560660.11</v>
      </c>
    </row>
    <row r="883" spans="1:14" ht="4.95" customHeight="1" x14ac:dyDescent="0.2"/>
    <row r="884" spans="1:14" x14ac:dyDescent="0.2">
      <c r="A884" s="16" t="s">
        <v>37</v>
      </c>
    </row>
    <row r="886" spans="1:14" x14ac:dyDescent="0.2">
      <c r="A886" s="16" t="s">
        <v>545</v>
      </c>
    </row>
    <row r="887" spans="1:14" x14ac:dyDescent="0.2">
      <c r="A887" s="17" t="s">
        <v>546</v>
      </c>
      <c r="B887" s="10">
        <v>38280.300000000003</v>
      </c>
      <c r="C887" s="10">
        <v>46347.08</v>
      </c>
      <c r="D887" s="10">
        <v>47057.09</v>
      </c>
      <c r="E887" s="10">
        <v>41428.92</v>
      </c>
      <c r="F887" s="10">
        <v>43514.97</v>
      </c>
      <c r="G887" s="10">
        <v>36924.92</v>
      </c>
      <c r="H887" s="10">
        <v>50297.71</v>
      </c>
      <c r="I887" s="10">
        <v>37935.08</v>
      </c>
      <c r="J887" s="10">
        <v>35791.620000000003</v>
      </c>
      <c r="K887" s="10">
        <v>40745.879999999997</v>
      </c>
      <c r="L887" s="10">
        <v>34854.21</v>
      </c>
      <c r="M887" s="10">
        <v>24178.27</v>
      </c>
      <c r="N887" s="10">
        <f>B887+C887+D887+E887+F887+G887+H887+I887+J887+K887+L887+M887</f>
        <v>477356.0500000001</v>
      </c>
    </row>
    <row r="888" spans="1:14" x14ac:dyDescent="0.2">
      <c r="A888" s="17" t="s">
        <v>547</v>
      </c>
      <c r="B888" s="10">
        <v>50616.62</v>
      </c>
      <c r="C888" s="10">
        <v>56684.04</v>
      </c>
      <c r="D888" s="10">
        <v>62450.98</v>
      </c>
      <c r="E888" s="10">
        <v>54263.53</v>
      </c>
      <c r="F888" s="10">
        <v>57420.11</v>
      </c>
      <c r="G888" s="10">
        <v>48868.3</v>
      </c>
      <c r="H888" s="10">
        <v>65504.99</v>
      </c>
      <c r="I888" s="10">
        <v>49311.95</v>
      </c>
      <c r="J888" s="10">
        <v>47415.59</v>
      </c>
      <c r="K888" s="10">
        <v>48608.22</v>
      </c>
      <c r="L888" s="10">
        <v>51258.71</v>
      </c>
      <c r="M888" s="10">
        <v>32841.629999999997</v>
      </c>
      <c r="N888" s="10">
        <f>B888+C888+D888+E888+F888+G888+H888+I888+J888+K888+L888+M888</f>
        <v>625244.66999999993</v>
      </c>
    </row>
    <row r="889" spans="1:14" x14ac:dyDescent="0.2">
      <c r="A889" s="17" t="s">
        <v>548</v>
      </c>
      <c r="B889" s="10">
        <v>27668.400000000001</v>
      </c>
      <c r="C889" s="10">
        <v>32292.37</v>
      </c>
      <c r="D889" s="10">
        <v>43813.9</v>
      </c>
      <c r="E889" s="10">
        <v>31649.13</v>
      </c>
      <c r="F889" s="10">
        <v>36701.39</v>
      </c>
      <c r="G889" s="10">
        <v>25414.74</v>
      </c>
      <c r="H889" s="10">
        <v>37579.01</v>
      </c>
      <c r="I889" s="10">
        <v>32501.31</v>
      </c>
      <c r="J889" s="10">
        <v>27074.43</v>
      </c>
      <c r="K889" s="10">
        <v>29504.36</v>
      </c>
      <c r="L889" s="10">
        <v>34695.49</v>
      </c>
      <c r="M889" s="10">
        <v>22874.560000000001</v>
      </c>
      <c r="N889" s="10">
        <f>B889+C889+D889+E889+F889+G889+H889+I889+J889+K889+L889+M889</f>
        <v>381769.08999999997</v>
      </c>
    </row>
    <row r="890" spans="1:14" x14ac:dyDescent="0.2">
      <c r="A890" s="17" t="s">
        <v>549</v>
      </c>
      <c r="B890" s="10">
        <v>32848.959999999999</v>
      </c>
      <c r="C890" s="10">
        <v>26807.29</v>
      </c>
      <c r="D890" s="10">
        <v>40602.75</v>
      </c>
      <c r="E890" s="10">
        <v>37870.379999999997</v>
      </c>
      <c r="F890" s="10">
        <v>34634.699999999997</v>
      </c>
      <c r="G890" s="10">
        <v>33113.519999999997</v>
      </c>
      <c r="H890" s="10">
        <v>32632.93</v>
      </c>
      <c r="I890" s="10">
        <v>22583.599999999999</v>
      </c>
      <c r="J890" s="10">
        <v>25689.17</v>
      </c>
      <c r="K890" s="10">
        <v>26041.45</v>
      </c>
      <c r="L890" s="10">
        <v>32539.72</v>
      </c>
      <c r="M890" s="10">
        <v>21254.75</v>
      </c>
      <c r="N890" s="10">
        <f>B890+C890+D890+E890+F890+G890+H890+I890+J890+K890+L890+M890</f>
        <v>366619.22</v>
      </c>
    </row>
    <row r="891" spans="1:14" ht="4.95" customHeight="1" x14ac:dyDescent="0.2"/>
    <row r="892" spans="1:14" ht="4.95" customHeight="1" x14ac:dyDescent="0.2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</row>
    <row r="893" spans="1:14" ht="4.95" customHeight="1" x14ac:dyDescent="0.2"/>
    <row r="894" spans="1:14" x14ac:dyDescent="0.2">
      <c r="A894" s="16" t="s">
        <v>550</v>
      </c>
      <c r="B894" s="9">
        <f t="shared" ref="B894:N894" si="168">SUM(B887:B890)</f>
        <v>149414.28</v>
      </c>
      <c r="C894" s="9">
        <f t="shared" si="168"/>
        <v>162130.78</v>
      </c>
      <c r="D894" s="9">
        <f t="shared" si="168"/>
        <v>193924.72</v>
      </c>
      <c r="E894" s="9">
        <f t="shared" si="168"/>
        <v>165211.96</v>
      </c>
      <c r="F894" s="9">
        <f t="shared" si="168"/>
        <v>172271.16999999998</v>
      </c>
      <c r="G894" s="9">
        <f t="shared" si="168"/>
        <v>144321.48000000001</v>
      </c>
      <c r="H894" s="9">
        <f t="shared" si="168"/>
        <v>186014.63999999998</v>
      </c>
      <c r="I894" s="9">
        <f t="shared" si="168"/>
        <v>142331.94</v>
      </c>
      <c r="J894" s="9">
        <f t="shared" si="168"/>
        <v>135970.81</v>
      </c>
      <c r="K894" s="9">
        <f t="shared" si="168"/>
        <v>144899.91</v>
      </c>
      <c r="L894" s="9">
        <f t="shared" si="168"/>
        <v>153348.13</v>
      </c>
      <c r="M894" s="9">
        <f t="shared" si="168"/>
        <v>101149.20999999999</v>
      </c>
      <c r="N894" s="9">
        <f t="shared" si="168"/>
        <v>1850989.03</v>
      </c>
    </row>
    <row r="895" spans="1:14" ht="4.95" customHeight="1" x14ac:dyDescent="0.2"/>
    <row r="896" spans="1:14" x14ac:dyDescent="0.2">
      <c r="A896" s="16" t="s">
        <v>551</v>
      </c>
      <c r="B896" s="9">
        <f t="shared" ref="B896:N896" si="169">B894</f>
        <v>149414.28</v>
      </c>
      <c r="C896" s="9">
        <f t="shared" si="169"/>
        <v>162130.78</v>
      </c>
      <c r="D896" s="9">
        <f t="shared" si="169"/>
        <v>193924.72</v>
      </c>
      <c r="E896" s="9">
        <f t="shared" si="169"/>
        <v>165211.96</v>
      </c>
      <c r="F896" s="9">
        <f t="shared" si="169"/>
        <v>172271.16999999998</v>
      </c>
      <c r="G896" s="9">
        <f t="shared" si="169"/>
        <v>144321.48000000001</v>
      </c>
      <c r="H896" s="9">
        <f t="shared" si="169"/>
        <v>186014.63999999998</v>
      </c>
      <c r="I896" s="9">
        <f t="shared" si="169"/>
        <v>142331.94</v>
      </c>
      <c r="J896" s="9">
        <f t="shared" si="169"/>
        <v>135970.81</v>
      </c>
      <c r="K896" s="9">
        <f t="shared" si="169"/>
        <v>144899.91</v>
      </c>
      <c r="L896" s="9">
        <f t="shared" si="169"/>
        <v>153348.13</v>
      </c>
      <c r="M896" s="9">
        <f t="shared" si="169"/>
        <v>101149.20999999999</v>
      </c>
      <c r="N896" s="9">
        <f t="shared" si="169"/>
        <v>1850989.03</v>
      </c>
    </row>
    <row r="897" spans="1:14" ht="4.95" customHeight="1" x14ac:dyDescent="0.2"/>
    <row r="898" spans="1:14" x14ac:dyDescent="0.2">
      <c r="A898" s="16" t="s">
        <v>38</v>
      </c>
    </row>
    <row r="900" spans="1:14" x14ac:dyDescent="0.2">
      <c r="A900" s="16" t="s">
        <v>552</v>
      </c>
    </row>
    <row r="901" spans="1:14" x14ac:dyDescent="0.2">
      <c r="A901" s="16" t="s">
        <v>553</v>
      </c>
    </row>
    <row r="903" spans="1:14" x14ac:dyDescent="0.2">
      <c r="A903" s="16" t="s">
        <v>554</v>
      </c>
    </row>
    <row r="904" spans="1:14" x14ac:dyDescent="0.2">
      <c r="A904" s="16" t="s">
        <v>555</v>
      </c>
    </row>
    <row r="905" spans="1:14" x14ac:dyDescent="0.2">
      <c r="A905" s="17" t="s">
        <v>556</v>
      </c>
      <c r="B905" s="10">
        <v>7147.36</v>
      </c>
      <c r="C905" s="10">
        <v>3248.8</v>
      </c>
      <c r="D905" s="10">
        <v>6584.8</v>
      </c>
      <c r="E905" s="10">
        <v>5004</v>
      </c>
      <c r="F905" s="10">
        <v>6338.4</v>
      </c>
      <c r="G905" s="10">
        <v>6004.8</v>
      </c>
      <c r="H905" s="10">
        <v>7339.2</v>
      </c>
      <c r="I905" s="10">
        <v>2668.8</v>
      </c>
      <c r="J905" s="10">
        <v>6672</v>
      </c>
      <c r="K905" s="10">
        <v>7339.2</v>
      </c>
      <c r="L905" s="10">
        <v>6672</v>
      </c>
      <c r="M905" s="10">
        <v>6004.8</v>
      </c>
      <c r="N905" s="10">
        <f>B905+C905+D905+E905+F905+G905+H905+I905+J905+K905+L905+M905</f>
        <v>71024.160000000003</v>
      </c>
    </row>
    <row r="906" spans="1:14" x14ac:dyDescent="0.2">
      <c r="A906" s="16" t="s">
        <v>557</v>
      </c>
      <c r="B906" s="9">
        <f t="shared" ref="B906:N906" si="170">B905</f>
        <v>7147.36</v>
      </c>
      <c r="C906" s="9">
        <f t="shared" si="170"/>
        <v>3248.8</v>
      </c>
      <c r="D906" s="9">
        <f t="shared" si="170"/>
        <v>6584.8</v>
      </c>
      <c r="E906" s="9">
        <f t="shared" si="170"/>
        <v>5004</v>
      </c>
      <c r="F906" s="9">
        <f t="shared" si="170"/>
        <v>6338.4</v>
      </c>
      <c r="G906" s="9">
        <f t="shared" si="170"/>
        <v>6004.8</v>
      </c>
      <c r="H906" s="9">
        <f t="shared" si="170"/>
        <v>7339.2</v>
      </c>
      <c r="I906" s="9">
        <f t="shared" si="170"/>
        <v>2668.8</v>
      </c>
      <c r="J906" s="9">
        <f t="shared" si="170"/>
        <v>6672</v>
      </c>
      <c r="K906" s="9">
        <f t="shared" si="170"/>
        <v>7339.2</v>
      </c>
      <c r="L906" s="9">
        <f t="shared" si="170"/>
        <v>6672</v>
      </c>
      <c r="M906" s="9">
        <f t="shared" si="170"/>
        <v>6004.8</v>
      </c>
      <c r="N906" s="9">
        <f t="shared" si="170"/>
        <v>71024.160000000003</v>
      </c>
    </row>
    <row r="908" spans="1:14" x14ac:dyDescent="0.2">
      <c r="A908" s="16" t="s">
        <v>558</v>
      </c>
    </row>
    <row r="909" spans="1:14" x14ac:dyDescent="0.2">
      <c r="A909" s="17" t="s">
        <v>559</v>
      </c>
      <c r="B909" s="10">
        <v>23045.46</v>
      </c>
      <c r="C909" s="10">
        <v>24183.4</v>
      </c>
      <c r="D909" s="10">
        <v>27296.02</v>
      </c>
      <c r="E909" s="10">
        <v>25728.560000000001</v>
      </c>
      <c r="F909" s="10">
        <v>29030.5</v>
      </c>
      <c r="G909" s="10">
        <v>28771.35</v>
      </c>
      <c r="H909" s="10">
        <v>29465.09</v>
      </c>
      <c r="I909" s="10">
        <v>31231.89</v>
      </c>
      <c r="J909" s="10">
        <v>24119.06</v>
      </c>
      <c r="K909" s="10">
        <v>29240.77</v>
      </c>
      <c r="L909" s="10">
        <v>27215.9</v>
      </c>
      <c r="M909" s="10">
        <v>26888.880000000001</v>
      </c>
      <c r="N909" s="10">
        <f>B909+C909+D909+E909+F909+G909+H909+I909+J909+K909+L909+M909</f>
        <v>326216.88000000006</v>
      </c>
    </row>
    <row r="910" spans="1:14" x14ac:dyDescent="0.2">
      <c r="A910" s="16" t="s">
        <v>560</v>
      </c>
      <c r="B910" s="9">
        <f t="shared" ref="B910:N910" si="171">B909</f>
        <v>23045.46</v>
      </c>
      <c r="C910" s="9">
        <f t="shared" si="171"/>
        <v>24183.4</v>
      </c>
      <c r="D910" s="9">
        <f t="shared" si="171"/>
        <v>27296.02</v>
      </c>
      <c r="E910" s="9">
        <f t="shared" si="171"/>
        <v>25728.560000000001</v>
      </c>
      <c r="F910" s="9">
        <f t="shared" si="171"/>
        <v>29030.5</v>
      </c>
      <c r="G910" s="9">
        <f t="shared" si="171"/>
        <v>28771.35</v>
      </c>
      <c r="H910" s="9">
        <f t="shared" si="171"/>
        <v>29465.09</v>
      </c>
      <c r="I910" s="9">
        <f t="shared" si="171"/>
        <v>31231.89</v>
      </c>
      <c r="J910" s="9">
        <f t="shared" si="171"/>
        <v>24119.06</v>
      </c>
      <c r="K910" s="9">
        <f t="shared" si="171"/>
        <v>29240.77</v>
      </c>
      <c r="L910" s="9">
        <f t="shared" si="171"/>
        <v>27215.9</v>
      </c>
      <c r="M910" s="9">
        <f t="shared" si="171"/>
        <v>26888.880000000001</v>
      </c>
      <c r="N910" s="9">
        <f t="shared" si="171"/>
        <v>326216.88000000006</v>
      </c>
    </row>
    <row r="911" spans="1:14" x14ac:dyDescent="0.2">
      <c r="A911" s="16" t="s">
        <v>561</v>
      </c>
      <c r="B911" s="9">
        <f t="shared" ref="B911:N911" si="172">B906+B910</f>
        <v>30192.82</v>
      </c>
      <c r="C911" s="9">
        <f t="shared" si="172"/>
        <v>27432.2</v>
      </c>
      <c r="D911" s="9">
        <f t="shared" si="172"/>
        <v>33880.82</v>
      </c>
      <c r="E911" s="9">
        <f t="shared" si="172"/>
        <v>30732.560000000001</v>
      </c>
      <c r="F911" s="9">
        <f t="shared" si="172"/>
        <v>35368.9</v>
      </c>
      <c r="G911" s="9">
        <f t="shared" si="172"/>
        <v>34776.15</v>
      </c>
      <c r="H911" s="9">
        <f t="shared" si="172"/>
        <v>36804.29</v>
      </c>
      <c r="I911" s="9">
        <f t="shared" si="172"/>
        <v>33900.69</v>
      </c>
      <c r="J911" s="9">
        <f t="shared" si="172"/>
        <v>30791.06</v>
      </c>
      <c r="K911" s="9">
        <f t="shared" si="172"/>
        <v>36579.97</v>
      </c>
      <c r="L911" s="9">
        <f t="shared" si="172"/>
        <v>33887.9</v>
      </c>
      <c r="M911" s="9">
        <f t="shared" si="172"/>
        <v>32893.68</v>
      </c>
      <c r="N911" s="9">
        <f t="shared" si="172"/>
        <v>397241.04000000004</v>
      </c>
    </row>
    <row r="913" spans="1:14" x14ac:dyDescent="0.2">
      <c r="A913" s="16" t="s">
        <v>562</v>
      </c>
    </row>
    <row r="914" spans="1:14" x14ac:dyDescent="0.2">
      <c r="A914" s="17" t="s">
        <v>563</v>
      </c>
      <c r="B914" s="10">
        <v>100</v>
      </c>
      <c r="C914" s="10">
        <v>0</v>
      </c>
      <c r="D914" s="10">
        <v>4098.8100000000004</v>
      </c>
      <c r="E914" s="10">
        <v>0</v>
      </c>
      <c r="F914" s="10">
        <v>0</v>
      </c>
      <c r="G914" s="10">
        <v>0</v>
      </c>
      <c r="H914" s="10">
        <v>0</v>
      </c>
      <c r="I914" s="10">
        <v>0</v>
      </c>
      <c r="J914" s="10">
        <v>834.7</v>
      </c>
      <c r="K914" s="10">
        <v>0</v>
      </c>
      <c r="L914" s="10">
        <v>0</v>
      </c>
      <c r="M914" s="10">
        <v>0</v>
      </c>
      <c r="N914" s="10">
        <f t="shared" ref="N914:N920" si="173">B914+C914+D914+E914+F914+G914+H914+I914+J914+K914+L914+M914</f>
        <v>5033.51</v>
      </c>
    </row>
    <row r="915" spans="1:14" x14ac:dyDescent="0.2">
      <c r="A915" s="17" t="s">
        <v>564</v>
      </c>
      <c r="B915" s="10">
        <v>2286.4299999999998</v>
      </c>
      <c r="C915" s="10">
        <v>2340.02</v>
      </c>
      <c r="D915" s="10">
        <v>4346.75</v>
      </c>
      <c r="E915" s="10">
        <v>1163.83</v>
      </c>
      <c r="F915" s="10">
        <v>2636.53</v>
      </c>
      <c r="G915" s="10">
        <v>2787.96</v>
      </c>
      <c r="H915" s="10">
        <v>2125.77</v>
      </c>
      <c r="I915" s="10">
        <v>3428.91</v>
      </c>
      <c r="J915" s="10">
        <v>2453.96</v>
      </c>
      <c r="K915" s="10">
        <v>2564.42</v>
      </c>
      <c r="L915" s="10">
        <v>2448.63</v>
      </c>
      <c r="M915" s="10">
        <v>2411.89</v>
      </c>
      <c r="N915" s="10">
        <f t="shared" si="173"/>
        <v>30995.100000000002</v>
      </c>
    </row>
    <row r="916" spans="1:14" x14ac:dyDescent="0.2">
      <c r="A916" s="17" t="s">
        <v>565</v>
      </c>
      <c r="B916" s="10">
        <v>172.29</v>
      </c>
      <c r="C916" s="10">
        <v>144.04</v>
      </c>
      <c r="D916" s="10">
        <v>170.03</v>
      </c>
      <c r="E916" s="10">
        <v>162.19999999999999</v>
      </c>
      <c r="F916" s="10">
        <v>182.49</v>
      </c>
      <c r="G916" s="10">
        <v>200.16</v>
      </c>
      <c r="H916" s="10">
        <v>195.04</v>
      </c>
      <c r="I916" s="10">
        <v>172.76</v>
      </c>
      <c r="J916" s="10">
        <v>159.22</v>
      </c>
      <c r="K916" s="10">
        <v>175.94</v>
      </c>
      <c r="L916" s="10">
        <v>159.08000000000001</v>
      </c>
      <c r="M916" s="10">
        <v>183.25</v>
      </c>
      <c r="N916" s="10">
        <f t="shared" si="173"/>
        <v>2076.5</v>
      </c>
    </row>
    <row r="917" spans="1:14" x14ac:dyDescent="0.2">
      <c r="A917" s="17" t="s">
        <v>566</v>
      </c>
      <c r="B917" s="10">
        <v>678.32</v>
      </c>
      <c r="C917" s="10">
        <v>562.54999999999995</v>
      </c>
      <c r="D917" s="10">
        <v>500</v>
      </c>
      <c r="E917" s="10">
        <v>709.41</v>
      </c>
      <c r="F917" s="10">
        <v>785.63</v>
      </c>
      <c r="G917" s="10">
        <v>784.94</v>
      </c>
      <c r="H917" s="10">
        <v>546.94000000000005</v>
      </c>
      <c r="I917" s="10">
        <v>613.61</v>
      </c>
      <c r="J917" s="10">
        <v>710.7</v>
      </c>
      <c r="K917" s="10">
        <v>646.23</v>
      </c>
      <c r="L917" s="10">
        <v>596.33000000000004</v>
      </c>
      <c r="M917" s="10">
        <v>808.86</v>
      </c>
      <c r="N917" s="10">
        <f t="shared" si="173"/>
        <v>7943.5199999999995</v>
      </c>
    </row>
    <row r="918" spans="1:14" x14ac:dyDescent="0.2">
      <c r="A918" s="17" t="s">
        <v>567</v>
      </c>
      <c r="B918" s="10">
        <v>1267.5999999999999</v>
      </c>
      <c r="C918" s="10">
        <v>799.52</v>
      </c>
      <c r="D918" s="10">
        <v>725.2</v>
      </c>
      <c r="E918" s="10">
        <v>1320.34</v>
      </c>
      <c r="F918" s="10">
        <v>2210.54</v>
      </c>
      <c r="G918" s="10">
        <v>1463.84</v>
      </c>
      <c r="H918" s="10">
        <v>1538.55</v>
      </c>
      <c r="I918" s="10">
        <v>1141.68</v>
      </c>
      <c r="J918" s="10">
        <v>320</v>
      </c>
      <c r="K918" s="10">
        <v>1232.96</v>
      </c>
      <c r="L918" s="10">
        <v>1379.28</v>
      </c>
      <c r="M918" s="10">
        <v>2397.12</v>
      </c>
      <c r="N918" s="10">
        <f t="shared" si="173"/>
        <v>15796.630000000001</v>
      </c>
    </row>
    <row r="919" spans="1:14" x14ac:dyDescent="0.2">
      <c r="A919" s="17" t="s">
        <v>568</v>
      </c>
      <c r="B919" s="10">
        <v>470.88</v>
      </c>
      <c r="C919" s="10">
        <v>641.67999999999995</v>
      </c>
      <c r="D919" s="10">
        <v>969.52</v>
      </c>
      <c r="E919" s="10">
        <v>1245.1199999999999</v>
      </c>
      <c r="F919" s="10">
        <v>1137.1199999999999</v>
      </c>
      <c r="G919" s="10">
        <v>147.91999999999999</v>
      </c>
      <c r="H919" s="10">
        <v>799.52</v>
      </c>
      <c r="I919" s="10">
        <v>493.36</v>
      </c>
      <c r="J919" s="10">
        <v>147.91999999999999</v>
      </c>
      <c r="K919" s="10">
        <v>977.2</v>
      </c>
      <c r="L919" s="10">
        <v>893.52</v>
      </c>
      <c r="M919" s="10">
        <v>80</v>
      </c>
      <c r="N919" s="10">
        <f t="shared" si="173"/>
        <v>8003.76</v>
      </c>
    </row>
    <row r="920" spans="1:14" x14ac:dyDescent="0.2">
      <c r="A920" s="17" t="s">
        <v>569</v>
      </c>
      <c r="B920" s="10">
        <v>2115.5300000000002</v>
      </c>
      <c r="C920" s="10">
        <v>0</v>
      </c>
      <c r="D920" s="10">
        <v>0</v>
      </c>
      <c r="E920" s="10">
        <v>0</v>
      </c>
      <c r="F920" s="10">
        <v>0</v>
      </c>
      <c r="G920" s="10">
        <v>3126.63</v>
      </c>
      <c r="H920" s="10">
        <v>1477.37</v>
      </c>
      <c r="I920" s="10">
        <v>0</v>
      </c>
      <c r="J920" s="10">
        <v>1745.35</v>
      </c>
      <c r="K920" s="10">
        <v>0</v>
      </c>
      <c r="L920" s="10">
        <v>0</v>
      </c>
      <c r="M920" s="10">
        <v>1741.4</v>
      </c>
      <c r="N920" s="10">
        <f t="shared" si="173"/>
        <v>10206.279999999999</v>
      </c>
    </row>
    <row r="921" spans="1:14" x14ac:dyDescent="0.2">
      <c r="A921" s="16" t="s">
        <v>570</v>
      </c>
      <c r="B921" s="9">
        <f t="shared" ref="B921:N921" si="174">SUM(B914:B920)</f>
        <v>7091.0499999999993</v>
      </c>
      <c r="C921" s="9">
        <f t="shared" si="174"/>
        <v>4487.8099999999995</v>
      </c>
      <c r="D921" s="9">
        <f t="shared" si="174"/>
        <v>10810.310000000003</v>
      </c>
      <c r="E921" s="9">
        <f t="shared" si="174"/>
        <v>4600.8999999999996</v>
      </c>
      <c r="F921" s="9">
        <f t="shared" si="174"/>
        <v>6952.31</v>
      </c>
      <c r="G921" s="9">
        <f t="shared" si="174"/>
        <v>8511.4500000000007</v>
      </c>
      <c r="H921" s="9">
        <f t="shared" si="174"/>
        <v>6683.19</v>
      </c>
      <c r="I921" s="9">
        <f t="shared" si="174"/>
        <v>5850.32</v>
      </c>
      <c r="J921" s="9">
        <f t="shared" si="174"/>
        <v>6371.85</v>
      </c>
      <c r="K921" s="9">
        <f t="shared" si="174"/>
        <v>5596.75</v>
      </c>
      <c r="L921" s="9">
        <f t="shared" si="174"/>
        <v>5476.84</v>
      </c>
      <c r="M921" s="9">
        <f t="shared" si="174"/>
        <v>7622.52</v>
      </c>
      <c r="N921" s="9">
        <f t="shared" si="174"/>
        <v>80055.299999999988</v>
      </c>
    </row>
    <row r="922" spans="1:14" ht="4.95" customHeight="1" x14ac:dyDescent="0.2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</row>
    <row r="923" spans="1:14" ht="4.95" customHeight="1" x14ac:dyDescent="0.2"/>
    <row r="924" spans="1:14" x14ac:dyDescent="0.2">
      <c r="A924" s="16" t="s">
        <v>571</v>
      </c>
      <c r="B924" s="9">
        <f t="shared" ref="B924:N924" si="175">B911+B921</f>
        <v>37283.869999999995</v>
      </c>
      <c r="C924" s="9">
        <f t="shared" si="175"/>
        <v>31920.010000000002</v>
      </c>
      <c r="D924" s="9">
        <f t="shared" si="175"/>
        <v>44691.130000000005</v>
      </c>
      <c r="E924" s="9">
        <f t="shared" si="175"/>
        <v>35333.46</v>
      </c>
      <c r="F924" s="9">
        <f t="shared" si="175"/>
        <v>42321.21</v>
      </c>
      <c r="G924" s="9">
        <f t="shared" si="175"/>
        <v>43287.600000000006</v>
      </c>
      <c r="H924" s="9">
        <f t="shared" si="175"/>
        <v>43487.48</v>
      </c>
      <c r="I924" s="9">
        <f t="shared" si="175"/>
        <v>39751.01</v>
      </c>
      <c r="J924" s="9">
        <f t="shared" si="175"/>
        <v>37162.910000000003</v>
      </c>
      <c r="K924" s="9">
        <f t="shared" si="175"/>
        <v>42176.72</v>
      </c>
      <c r="L924" s="9">
        <f t="shared" si="175"/>
        <v>39364.740000000005</v>
      </c>
      <c r="M924" s="9">
        <f t="shared" si="175"/>
        <v>40516.199999999997</v>
      </c>
      <c r="N924" s="9">
        <f t="shared" si="175"/>
        <v>477296.34</v>
      </c>
    </row>
    <row r="925" spans="1:14" ht="4.95" customHeight="1" x14ac:dyDescent="0.2"/>
    <row r="926" spans="1:14" x14ac:dyDescent="0.2">
      <c r="A926" s="16" t="s">
        <v>114</v>
      </c>
    </row>
    <row r="927" spans="1:14" x14ac:dyDescent="0.2">
      <c r="A927" s="17" t="s">
        <v>572</v>
      </c>
      <c r="B927" s="10">
        <v>3340.25</v>
      </c>
      <c r="C927" s="10">
        <v>0</v>
      </c>
      <c r="D927" s="10">
        <v>5618.83</v>
      </c>
      <c r="E927" s="10">
        <v>2706.25</v>
      </c>
      <c r="F927" s="10">
        <v>-297.64</v>
      </c>
      <c r="G927" s="10">
        <v>1084.81</v>
      </c>
      <c r="H927" s="10">
        <v>-404.96</v>
      </c>
      <c r="I927" s="10">
        <v>0</v>
      </c>
      <c r="J927" s="10">
        <v>193.75</v>
      </c>
      <c r="K927" s="10">
        <v>-1890</v>
      </c>
      <c r="L927" s="10">
        <v>3222.46</v>
      </c>
      <c r="M927" s="10">
        <v>558.73</v>
      </c>
      <c r="N927" s="10">
        <f t="shared" ref="N927:N953" si="176">B927+C927+D927+E927+F927+G927+H927+I927+J927+K927+L927+M927</f>
        <v>14132.48</v>
      </c>
    </row>
    <row r="928" spans="1:14" x14ac:dyDescent="0.2">
      <c r="A928" s="17" t="s">
        <v>573</v>
      </c>
      <c r="B928" s="10">
        <v>1920.57</v>
      </c>
      <c r="C928" s="10">
        <v>1357.91</v>
      </c>
      <c r="D928" s="10">
        <v>2258.0500000000002</v>
      </c>
      <c r="E928" s="10">
        <v>1360.41</v>
      </c>
      <c r="F928" s="10">
        <v>1251.22</v>
      </c>
      <c r="G928" s="10">
        <v>1855.82</v>
      </c>
      <c r="H928" s="10">
        <v>1121.68</v>
      </c>
      <c r="I928" s="10">
        <v>1961.56</v>
      </c>
      <c r="J928" s="10">
        <v>1896.15</v>
      </c>
      <c r="K928" s="10">
        <v>1130.3599999999999</v>
      </c>
      <c r="L928" s="10">
        <v>1309.07</v>
      </c>
      <c r="M928" s="10">
        <v>2144.75</v>
      </c>
      <c r="N928" s="10">
        <f t="shared" si="176"/>
        <v>19567.550000000003</v>
      </c>
    </row>
    <row r="929" spans="1:14" x14ac:dyDescent="0.2">
      <c r="A929" s="17" t="s">
        <v>574</v>
      </c>
      <c r="B929" s="10">
        <v>0</v>
      </c>
      <c r="C929" s="10">
        <v>1624.03</v>
      </c>
      <c r="D929" s="10">
        <v>0</v>
      </c>
      <c r="E929" s="10">
        <v>0</v>
      </c>
      <c r="F929" s="10">
        <v>0</v>
      </c>
      <c r="G929" s="10">
        <v>0</v>
      </c>
      <c r="H929" s="10">
        <v>0</v>
      </c>
      <c r="I929" s="10">
        <v>0</v>
      </c>
      <c r="J929" s="10">
        <v>0</v>
      </c>
      <c r="K929" s="10">
        <v>-1624.03</v>
      </c>
      <c r="L929" s="10">
        <v>0</v>
      </c>
      <c r="M929" s="10">
        <v>0</v>
      </c>
      <c r="N929" s="10">
        <f t="shared" si="176"/>
        <v>0</v>
      </c>
    </row>
    <row r="930" spans="1:14" x14ac:dyDescent="0.2">
      <c r="A930" s="17" t="s">
        <v>575</v>
      </c>
      <c r="B930" s="10">
        <v>2213.33</v>
      </c>
      <c r="C930" s="10">
        <v>5015.3</v>
      </c>
      <c r="D930" s="10">
        <v>1451.01</v>
      </c>
      <c r="E930" s="10">
        <v>1542.46</v>
      </c>
      <c r="F930" s="10">
        <v>-1146.99</v>
      </c>
      <c r="G930" s="10">
        <v>5550.89</v>
      </c>
      <c r="H930" s="10">
        <v>-1645.57</v>
      </c>
      <c r="I930" s="10">
        <v>1451.01</v>
      </c>
      <c r="J930" s="10">
        <v>2314.7600000000002</v>
      </c>
      <c r="K930" s="10">
        <v>1925.81</v>
      </c>
      <c r="L930" s="10">
        <v>2378.36</v>
      </c>
      <c r="M930" s="10">
        <v>5504.62</v>
      </c>
      <c r="N930" s="10">
        <f t="shared" si="176"/>
        <v>26554.99</v>
      </c>
    </row>
    <row r="931" spans="1:14" x14ac:dyDescent="0.2">
      <c r="A931" s="17" t="s">
        <v>576</v>
      </c>
      <c r="B931" s="10">
        <v>0</v>
      </c>
      <c r="C931" s="10">
        <v>0</v>
      </c>
      <c r="D931" s="10">
        <v>0</v>
      </c>
      <c r="E931" s="10">
        <v>0</v>
      </c>
      <c r="F931" s="10">
        <v>0</v>
      </c>
      <c r="G931" s="10">
        <v>0</v>
      </c>
      <c r="H931" s="10">
        <v>0</v>
      </c>
      <c r="I931" s="10">
        <v>0</v>
      </c>
      <c r="J931" s="10">
        <v>0</v>
      </c>
      <c r="K931" s="10">
        <v>1460.33</v>
      </c>
      <c r="L931" s="10">
        <v>36.01</v>
      </c>
      <c r="M931" s="10">
        <v>0</v>
      </c>
      <c r="N931" s="10">
        <f t="shared" si="176"/>
        <v>1496.34</v>
      </c>
    </row>
    <row r="932" spans="1:14" x14ac:dyDescent="0.2">
      <c r="A932" s="17" t="s">
        <v>577</v>
      </c>
      <c r="B932" s="10">
        <v>4161.76</v>
      </c>
      <c r="C932" s="10">
        <v>4870.8</v>
      </c>
      <c r="D932" s="10">
        <v>4704.8100000000004</v>
      </c>
      <c r="E932" s="10">
        <v>3871.29</v>
      </c>
      <c r="F932" s="10">
        <v>3037.77</v>
      </c>
      <c r="G932" s="10">
        <v>3871.29</v>
      </c>
      <c r="H932" s="10">
        <v>5538.35</v>
      </c>
      <c r="I932" s="10">
        <v>3037.76</v>
      </c>
      <c r="J932" s="10">
        <v>5071.16</v>
      </c>
      <c r="K932" s="10">
        <v>4133.4399999999996</v>
      </c>
      <c r="L932" s="10">
        <v>4133.4399999999996</v>
      </c>
      <c r="M932" s="10">
        <v>4133.4399999999996</v>
      </c>
      <c r="N932" s="10">
        <f t="shared" si="176"/>
        <v>50565.310000000012</v>
      </c>
    </row>
    <row r="933" spans="1:14" x14ac:dyDescent="0.2">
      <c r="A933" s="17" t="s">
        <v>578</v>
      </c>
      <c r="B933" s="10">
        <v>7467.33</v>
      </c>
      <c r="C933" s="10">
        <v>8670.86</v>
      </c>
      <c r="D933" s="10">
        <v>3415.27</v>
      </c>
      <c r="E933" s="10">
        <v>2885.99</v>
      </c>
      <c r="F933" s="10">
        <v>1033.07</v>
      </c>
      <c r="G933" s="10">
        <v>2874.6</v>
      </c>
      <c r="H933" s="10">
        <v>3569.09</v>
      </c>
      <c r="I933" s="10">
        <v>3014.65</v>
      </c>
      <c r="J933" s="10">
        <v>7.04</v>
      </c>
      <c r="K933" s="10">
        <v>-274.25</v>
      </c>
      <c r="L933" s="10">
        <v>475.82</v>
      </c>
      <c r="M933" s="10">
        <v>1507.98</v>
      </c>
      <c r="N933" s="10">
        <f t="shared" si="176"/>
        <v>34647.449999999997</v>
      </c>
    </row>
    <row r="934" spans="1:14" x14ac:dyDescent="0.2">
      <c r="A934" s="17" t="s">
        <v>579</v>
      </c>
      <c r="B934" s="10">
        <v>192.22</v>
      </c>
      <c r="C934" s="10">
        <v>192.22</v>
      </c>
      <c r="D934" s="10">
        <v>192.22</v>
      </c>
      <c r="E934" s="10">
        <v>192.22</v>
      </c>
      <c r="F934" s="10">
        <v>192.22</v>
      </c>
      <c r="G934" s="10">
        <v>1123.1199999999999</v>
      </c>
      <c r="H934" s="10">
        <v>192.22</v>
      </c>
      <c r="I934" s="10">
        <v>192.22</v>
      </c>
      <c r="J934" s="10">
        <v>422.15</v>
      </c>
      <c r="K934" s="10">
        <v>192.22</v>
      </c>
      <c r="L934" s="10">
        <v>192.22</v>
      </c>
      <c r="M934" s="10">
        <v>192.22</v>
      </c>
      <c r="N934" s="10">
        <f t="shared" si="176"/>
        <v>3467.4699999999989</v>
      </c>
    </row>
    <row r="935" spans="1:14" x14ac:dyDescent="0.2">
      <c r="A935" s="17" t="s">
        <v>580</v>
      </c>
      <c r="B935" s="10">
        <v>1627</v>
      </c>
      <c r="C935" s="10">
        <v>2669.91</v>
      </c>
      <c r="D935" s="10">
        <v>7517.51</v>
      </c>
      <c r="E935" s="10">
        <v>1627</v>
      </c>
      <c r="F935" s="10">
        <v>1627</v>
      </c>
      <c r="G935" s="10">
        <v>1627</v>
      </c>
      <c r="H935" s="10">
        <v>2441.41</v>
      </c>
      <c r="I935" s="10">
        <v>3994.14</v>
      </c>
      <c r="J935" s="10">
        <v>1627</v>
      </c>
      <c r="K935" s="10">
        <v>1689.84</v>
      </c>
      <c r="L935" s="10">
        <v>1627</v>
      </c>
      <c r="M935" s="10">
        <v>1739.02</v>
      </c>
      <c r="N935" s="10">
        <f t="shared" si="176"/>
        <v>29813.829999999998</v>
      </c>
    </row>
    <row r="936" spans="1:14" x14ac:dyDescent="0.2">
      <c r="A936" s="17" t="s">
        <v>581</v>
      </c>
      <c r="B936" s="10">
        <v>1687.1</v>
      </c>
      <c r="C936" s="10">
        <v>-95.82</v>
      </c>
      <c r="D936" s="10">
        <v>2370.21</v>
      </c>
      <c r="E936" s="10">
        <v>1414.89</v>
      </c>
      <c r="F936" s="10">
        <v>866.63</v>
      </c>
      <c r="G936" s="10">
        <v>2705.1</v>
      </c>
      <c r="H936" s="10">
        <v>0</v>
      </c>
      <c r="I936" s="10">
        <v>2894.55</v>
      </c>
      <c r="J936" s="10">
        <v>-263.3</v>
      </c>
      <c r="K936" s="10">
        <v>2186.36</v>
      </c>
      <c r="L936" s="10">
        <v>66.45</v>
      </c>
      <c r="M936" s="10">
        <v>670.8</v>
      </c>
      <c r="N936" s="10">
        <f t="shared" si="176"/>
        <v>14502.970000000001</v>
      </c>
    </row>
    <row r="937" spans="1:14" x14ac:dyDescent="0.2">
      <c r="A937" s="17" t="s">
        <v>582</v>
      </c>
      <c r="B937" s="10">
        <v>519.6</v>
      </c>
      <c r="C937" s="10">
        <v>1579.89</v>
      </c>
      <c r="D937" s="10">
        <v>6494.52</v>
      </c>
      <c r="E937" s="10">
        <v>3399.01</v>
      </c>
      <c r="F937" s="10">
        <v>1705.09</v>
      </c>
      <c r="G937" s="10">
        <v>287.69</v>
      </c>
      <c r="H937" s="10">
        <v>614.21</v>
      </c>
      <c r="I937" s="10">
        <v>2009.73</v>
      </c>
      <c r="J937" s="10">
        <v>3066.72</v>
      </c>
      <c r="K937" s="10">
        <v>-86.29</v>
      </c>
      <c r="L937" s="10">
        <v>730.9</v>
      </c>
      <c r="M937" s="10">
        <v>-493.45</v>
      </c>
      <c r="N937" s="10">
        <f t="shared" si="176"/>
        <v>19827.620000000003</v>
      </c>
    </row>
    <row r="938" spans="1:14" x14ac:dyDescent="0.2">
      <c r="A938" s="17" t="s">
        <v>583</v>
      </c>
      <c r="B938" s="10">
        <v>598.22</v>
      </c>
      <c r="C938" s="10">
        <v>5102.12</v>
      </c>
      <c r="D938" s="10">
        <v>2236.85</v>
      </c>
      <c r="E938" s="10">
        <v>3539.51</v>
      </c>
      <c r="F938" s="10">
        <v>1190.75</v>
      </c>
      <c r="G938" s="10">
        <v>527.23</v>
      </c>
      <c r="H938" s="10">
        <v>3054.18</v>
      </c>
      <c r="I938" s="10">
        <v>809.3</v>
      </c>
      <c r="J938" s="10">
        <v>37.909999999999997</v>
      </c>
      <c r="K938" s="10">
        <v>2870.9</v>
      </c>
      <c r="L938" s="10">
        <v>1698.14</v>
      </c>
      <c r="M938" s="10">
        <v>0</v>
      </c>
      <c r="N938" s="10">
        <f t="shared" si="176"/>
        <v>21665.11</v>
      </c>
    </row>
    <row r="939" spans="1:14" x14ac:dyDescent="0.2">
      <c r="A939" s="17" t="s">
        <v>584</v>
      </c>
      <c r="B939" s="10">
        <v>486.59</v>
      </c>
      <c r="C939" s="10">
        <v>488.33</v>
      </c>
      <c r="D939" s="10">
        <v>488.52</v>
      </c>
      <c r="E939" s="10">
        <v>488.52</v>
      </c>
      <c r="F939" s="10">
        <v>488.54</v>
      </c>
      <c r="G939" s="10">
        <v>493.01</v>
      </c>
      <c r="H939" s="10">
        <v>505.79</v>
      </c>
      <c r="I939" s="10">
        <v>505.79</v>
      </c>
      <c r="J939" s="10">
        <v>505.79</v>
      </c>
      <c r="K939" s="10">
        <v>505.83</v>
      </c>
      <c r="L939" s="10">
        <v>492.74</v>
      </c>
      <c r="M939" s="10">
        <v>737.12</v>
      </c>
      <c r="N939" s="10">
        <f t="shared" si="176"/>
        <v>6186.57</v>
      </c>
    </row>
    <row r="940" spans="1:14" x14ac:dyDescent="0.2">
      <c r="A940" s="17" t="s">
        <v>585</v>
      </c>
      <c r="B940" s="10">
        <v>1325.73</v>
      </c>
      <c r="C940" s="10">
        <v>1566.13</v>
      </c>
      <c r="D940" s="10">
        <v>6447.16</v>
      </c>
      <c r="E940" s="10">
        <v>5793.12</v>
      </c>
      <c r="F940" s="10">
        <v>1502.42</v>
      </c>
      <c r="G940" s="10">
        <v>2215.4</v>
      </c>
      <c r="H940" s="10">
        <v>4580.8100000000004</v>
      </c>
      <c r="I940" s="10">
        <v>2611.86</v>
      </c>
      <c r="J940" s="10">
        <v>829.49</v>
      </c>
      <c r="K940" s="10">
        <v>4119.96</v>
      </c>
      <c r="L940" s="10">
        <v>1106.82</v>
      </c>
      <c r="M940" s="10">
        <v>-129.44</v>
      </c>
      <c r="N940" s="10">
        <f t="shared" si="176"/>
        <v>31969.460000000003</v>
      </c>
    </row>
    <row r="941" spans="1:14" x14ac:dyDescent="0.2">
      <c r="A941" s="17" t="s">
        <v>586</v>
      </c>
      <c r="B941" s="10">
        <v>1707.52</v>
      </c>
      <c r="C941" s="10">
        <v>825.58</v>
      </c>
      <c r="D941" s="10">
        <v>213.47</v>
      </c>
      <c r="E941" s="10">
        <v>417.15</v>
      </c>
      <c r="F941" s="10">
        <v>406.3</v>
      </c>
      <c r="G941" s="10">
        <v>755.09</v>
      </c>
      <c r="H941" s="10">
        <v>435.2</v>
      </c>
      <c r="I941" s="10">
        <v>1648.88</v>
      </c>
      <c r="J941" s="10">
        <v>450.57</v>
      </c>
      <c r="K941" s="10">
        <v>2508.91</v>
      </c>
      <c r="L941" s="10">
        <v>705.23</v>
      </c>
      <c r="M941" s="10">
        <v>1181.73</v>
      </c>
      <c r="N941" s="10">
        <f t="shared" si="176"/>
        <v>11255.629999999997</v>
      </c>
    </row>
    <row r="942" spans="1:14" x14ac:dyDescent="0.2">
      <c r="A942" s="17" t="s">
        <v>587</v>
      </c>
      <c r="B942" s="10">
        <v>282.24</v>
      </c>
      <c r="C942" s="10">
        <v>1359.9</v>
      </c>
      <c r="D942" s="10">
        <v>1279.72</v>
      </c>
      <c r="E942" s="10">
        <v>1132.98</v>
      </c>
      <c r="F942" s="10">
        <v>54.21</v>
      </c>
      <c r="G942" s="10">
        <v>263.79000000000002</v>
      </c>
      <c r="H942" s="10">
        <v>1465.46</v>
      </c>
      <c r="I942" s="10">
        <v>1392.07</v>
      </c>
      <c r="J942" s="10">
        <v>0</v>
      </c>
      <c r="K942" s="10">
        <v>859.87</v>
      </c>
      <c r="L942" s="10">
        <v>175.71</v>
      </c>
      <c r="M942" s="10">
        <v>664.28</v>
      </c>
      <c r="N942" s="10">
        <f t="shared" si="176"/>
        <v>8930.23</v>
      </c>
    </row>
    <row r="943" spans="1:14" x14ac:dyDescent="0.2">
      <c r="A943" s="17" t="s">
        <v>588</v>
      </c>
      <c r="B943" s="10">
        <v>12117.21</v>
      </c>
      <c r="C943" s="10">
        <v>13623.19</v>
      </c>
      <c r="D943" s="10">
        <v>7570.24</v>
      </c>
      <c r="E943" s="10">
        <v>5106.25</v>
      </c>
      <c r="F943" s="10">
        <v>4397.92</v>
      </c>
      <c r="G943" s="10">
        <v>2610.9499999999998</v>
      </c>
      <c r="H943" s="10">
        <v>8875.44</v>
      </c>
      <c r="I943" s="10">
        <v>6463.41</v>
      </c>
      <c r="J943" s="10">
        <v>7416.82</v>
      </c>
      <c r="K943" s="10">
        <v>9855.6</v>
      </c>
      <c r="L943" s="10">
        <v>6269.16</v>
      </c>
      <c r="M943" s="10">
        <v>4379.76</v>
      </c>
      <c r="N943" s="10">
        <f t="shared" si="176"/>
        <v>88685.95</v>
      </c>
    </row>
    <row r="944" spans="1:14" x14ac:dyDescent="0.2">
      <c r="A944" s="17" t="s">
        <v>589</v>
      </c>
      <c r="B944" s="10">
        <v>0</v>
      </c>
      <c r="C944" s="10">
        <v>0</v>
      </c>
      <c r="D944" s="10">
        <v>0</v>
      </c>
      <c r="E944" s="10">
        <v>0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0</v>
      </c>
      <c r="L944" s="10">
        <v>206.66</v>
      </c>
      <c r="M944" s="10">
        <v>0</v>
      </c>
      <c r="N944" s="10">
        <f t="shared" si="176"/>
        <v>206.66</v>
      </c>
    </row>
    <row r="945" spans="1:14" x14ac:dyDescent="0.2">
      <c r="A945" s="17" t="s">
        <v>590</v>
      </c>
      <c r="B945" s="10">
        <v>768.13</v>
      </c>
      <c r="C945" s="10">
        <v>768.13</v>
      </c>
      <c r="D945" s="10">
        <v>768.13</v>
      </c>
      <c r="E945" s="10">
        <v>768.13</v>
      </c>
      <c r="F945" s="10">
        <v>1503.12</v>
      </c>
      <c r="G945" s="10">
        <v>1197.27</v>
      </c>
      <c r="H945" s="10">
        <v>810</v>
      </c>
      <c r="I945" s="10">
        <v>768.13</v>
      </c>
      <c r="J945" s="10">
        <v>2249.44</v>
      </c>
      <c r="K945" s="10">
        <v>1769.35</v>
      </c>
      <c r="L945" s="10">
        <v>-156.27000000000001</v>
      </c>
      <c r="M945" s="10">
        <v>1001.38</v>
      </c>
      <c r="N945" s="10">
        <f t="shared" si="176"/>
        <v>12214.939999999999</v>
      </c>
    </row>
    <row r="946" spans="1:14" x14ac:dyDescent="0.2">
      <c r="A946" s="17" t="s">
        <v>591</v>
      </c>
      <c r="B946" s="10">
        <v>0</v>
      </c>
      <c r="C946" s="10">
        <v>0</v>
      </c>
      <c r="D946" s="10">
        <v>0</v>
      </c>
      <c r="E946" s="10">
        <v>4123.24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360.46</v>
      </c>
      <c r="N946" s="10">
        <f t="shared" si="176"/>
        <v>4483.7</v>
      </c>
    </row>
    <row r="947" spans="1:14" x14ac:dyDescent="0.2">
      <c r="A947" s="17" t="s">
        <v>592</v>
      </c>
      <c r="B947" s="10">
        <v>0</v>
      </c>
      <c r="C947" s="10">
        <v>-1577.36</v>
      </c>
      <c r="D947" s="10">
        <v>0</v>
      </c>
      <c r="E947" s="10">
        <v>0</v>
      </c>
      <c r="F947" s="10">
        <v>0</v>
      </c>
      <c r="G947" s="10">
        <v>0</v>
      </c>
      <c r="H947" s="10">
        <v>0</v>
      </c>
      <c r="I947" s="10">
        <v>555.92999999999995</v>
      </c>
      <c r="J947" s="10">
        <v>0</v>
      </c>
      <c r="K947" s="10">
        <v>1266.3</v>
      </c>
      <c r="L947" s="10">
        <v>1130.68</v>
      </c>
      <c r="M947" s="10">
        <v>-1533.37</v>
      </c>
      <c r="N947" s="10">
        <f t="shared" si="176"/>
        <v>-157.81999999999971</v>
      </c>
    </row>
    <row r="948" spans="1:14" x14ac:dyDescent="0.2">
      <c r="A948" s="17" t="s">
        <v>593</v>
      </c>
      <c r="B948" s="10">
        <v>0</v>
      </c>
      <c r="C948" s="10">
        <v>0</v>
      </c>
      <c r="D948" s="10">
        <v>0</v>
      </c>
      <c r="E948" s="10">
        <v>321.5</v>
      </c>
      <c r="F948" s="10">
        <v>0</v>
      </c>
      <c r="G948" s="10">
        <v>0</v>
      </c>
      <c r="H948" s="10">
        <v>0</v>
      </c>
      <c r="I948" s="10">
        <v>627.94000000000005</v>
      </c>
      <c r="J948" s="10">
        <v>0</v>
      </c>
      <c r="K948" s="10">
        <v>311.52999999999997</v>
      </c>
      <c r="L948" s="10">
        <v>0</v>
      </c>
      <c r="M948" s="10">
        <v>0</v>
      </c>
      <c r="N948" s="10">
        <f t="shared" si="176"/>
        <v>1260.97</v>
      </c>
    </row>
    <row r="949" spans="1:14" x14ac:dyDescent="0.2">
      <c r="A949" s="17" t="s">
        <v>594</v>
      </c>
      <c r="B949" s="10">
        <v>0</v>
      </c>
      <c r="C949" s="10">
        <v>450</v>
      </c>
      <c r="D949" s="10">
        <v>0</v>
      </c>
      <c r="E949" s="10">
        <v>1000</v>
      </c>
      <c r="F949" s="10">
        <v>0</v>
      </c>
      <c r="G949" s="10">
        <v>0</v>
      </c>
      <c r="H949" s="10">
        <v>0</v>
      </c>
      <c r="I949" s="10">
        <v>94.87</v>
      </c>
      <c r="J949" s="10">
        <v>640</v>
      </c>
      <c r="K949" s="10">
        <v>0</v>
      </c>
      <c r="L949" s="10">
        <v>411.36</v>
      </c>
      <c r="M949" s="10">
        <v>0</v>
      </c>
      <c r="N949" s="10">
        <f t="shared" si="176"/>
        <v>2596.23</v>
      </c>
    </row>
    <row r="950" spans="1:14" x14ac:dyDescent="0.2">
      <c r="A950" s="17" t="s">
        <v>595</v>
      </c>
      <c r="B950" s="10">
        <v>0</v>
      </c>
      <c r="C950" s="10">
        <v>-1146.6600000000001</v>
      </c>
      <c r="D950" s="10">
        <v>3287.29</v>
      </c>
      <c r="E950" s="10">
        <v>449.33</v>
      </c>
      <c r="F950" s="10">
        <v>828.93</v>
      </c>
      <c r="G950" s="10">
        <v>0</v>
      </c>
      <c r="H950" s="10">
        <v>0</v>
      </c>
      <c r="I950" s="10">
        <v>0</v>
      </c>
      <c r="J950" s="10">
        <v>0</v>
      </c>
      <c r="K950" s="10">
        <v>-3869.34</v>
      </c>
      <c r="L950" s="10">
        <v>0</v>
      </c>
      <c r="M950" s="10">
        <v>0</v>
      </c>
      <c r="N950" s="10">
        <f t="shared" si="176"/>
        <v>-450.45000000000027</v>
      </c>
    </row>
    <row r="951" spans="1:14" x14ac:dyDescent="0.2">
      <c r="A951" s="17" t="s">
        <v>596</v>
      </c>
      <c r="B951" s="10">
        <v>173.09</v>
      </c>
      <c r="C951" s="10">
        <v>121.1</v>
      </c>
      <c r="D951" s="10">
        <v>0</v>
      </c>
      <c r="E951" s="10">
        <v>239.85</v>
      </c>
      <c r="F951" s="10">
        <v>370.01</v>
      </c>
      <c r="G951" s="10">
        <v>0</v>
      </c>
      <c r="H951" s="10">
        <v>119.11</v>
      </c>
      <c r="I951" s="10">
        <v>0</v>
      </c>
      <c r="J951" s="10">
        <v>0</v>
      </c>
      <c r="K951" s="10">
        <v>0</v>
      </c>
      <c r="L951" s="10">
        <v>144.6</v>
      </c>
      <c r="M951" s="10">
        <v>0</v>
      </c>
      <c r="N951" s="10">
        <f t="shared" si="176"/>
        <v>1167.76</v>
      </c>
    </row>
    <row r="952" spans="1:14" x14ac:dyDescent="0.2">
      <c r="A952" s="17" t="s">
        <v>597</v>
      </c>
      <c r="B952" s="10">
        <v>0</v>
      </c>
      <c r="C952" s="10">
        <v>0</v>
      </c>
      <c r="D952" s="10">
        <v>0</v>
      </c>
      <c r="E952" s="10">
        <v>198.04</v>
      </c>
      <c r="F952" s="10">
        <v>0</v>
      </c>
      <c r="G952" s="10">
        <v>0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f t="shared" si="176"/>
        <v>198.04</v>
      </c>
    </row>
    <row r="953" spans="1:14" x14ac:dyDescent="0.2">
      <c r="A953" s="17" t="s">
        <v>598</v>
      </c>
      <c r="B953" s="10">
        <v>2192.06</v>
      </c>
      <c r="C953" s="10">
        <v>2192.06</v>
      </c>
      <c r="D953" s="10">
        <v>974.25</v>
      </c>
      <c r="E953" s="10">
        <v>974.25</v>
      </c>
      <c r="F953" s="10">
        <v>1391.41</v>
      </c>
      <c r="G953" s="10">
        <v>1217.81</v>
      </c>
      <c r="H953" s="10">
        <v>974.25</v>
      </c>
      <c r="I953" s="10">
        <v>974.25</v>
      </c>
      <c r="J953" s="10">
        <v>974.25</v>
      </c>
      <c r="K953" s="10">
        <v>1109.56</v>
      </c>
      <c r="L953" s="10">
        <v>1272.02</v>
      </c>
      <c r="M953" s="10">
        <v>1737.06</v>
      </c>
      <c r="N953" s="10">
        <f t="shared" si="176"/>
        <v>15983.23</v>
      </c>
    </row>
    <row r="954" spans="1:14" ht="4.95" customHeight="1" x14ac:dyDescent="0.2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</row>
    <row r="955" spans="1:14" ht="4.95" customHeight="1" x14ac:dyDescent="0.2"/>
    <row r="956" spans="1:14" x14ac:dyDescent="0.2">
      <c r="A956" s="16" t="s">
        <v>139</v>
      </c>
      <c r="B956" s="9">
        <f t="shared" ref="B956:N956" si="177">SUM(B927:B953)</f>
        <v>42779.94999999999</v>
      </c>
      <c r="C956" s="9">
        <f t="shared" si="177"/>
        <v>49657.619999999995</v>
      </c>
      <c r="D956" s="9">
        <f t="shared" si="177"/>
        <v>57288.060000000005</v>
      </c>
      <c r="E956" s="9">
        <f t="shared" si="177"/>
        <v>43551.39</v>
      </c>
      <c r="F956" s="9">
        <f t="shared" si="177"/>
        <v>20401.979999999996</v>
      </c>
      <c r="G956" s="9">
        <f t="shared" si="177"/>
        <v>30260.870000000003</v>
      </c>
      <c r="H956" s="9">
        <f t="shared" si="177"/>
        <v>32246.670000000006</v>
      </c>
      <c r="I956" s="9">
        <f t="shared" si="177"/>
        <v>35008.050000000003</v>
      </c>
      <c r="J956" s="9">
        <f t="shared" si="177"/>
        <v>27439.7</v>
      </c>
      <c r="K956" s="9">
        <f t="shared" si="177"/>
        <v>30152.260000000002</v>
      </c>
      <c r="L956" s="9">
        <f t="shared" si="177"/>
        <v>27628.579999999998</v>
      </c>
      <c r="M956" s="9">
        <f t="shared" si="177"/>
        <v>24357.09</v>
      </c>
      <c r="N956" s="9">
        <f t="shared" si="177"/>
        <v>420772.21999999991</v>
      </c>
    </row>
    <row r="957" spans="1:14" ht="4.95" customHeight="1" x14ac:dyDescent="0.2"/>
    <row r="958" spans="1:14" ht="4.95" customHeight="1" x14ac:dyDescent="0.2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</row>
    <row r="959" spans="1:14" ht="4.95" customHeight="1" x14ac:dyDescent="0.2"/>
    <row r="960" spans="1:14" x14ac:dyDescent="0.2">
      <c r="A960" s="16" t="s">
        <v>599</v>
      </c>
      <c r="B960" s="9">
        <f t="shared" ref="B960:N960" si="178">B924+B956</f>
        <v>80063.819999999978</v>
      </c>
      <c r="C960" s="9">
        <f t="shared" si="178"/>
        <v>81577.63</v>
      </c>
      <c r="D960" s="9">
        <f t="shared" si="178"/>
        <v>101979.19</v>
      </c>
      <c r="E960" s="9">
        <f t="shared" si="178"/>
        <v>78884.850000000006</v>
      </c>
      <c r="F960" s="9">
        <f t="shared" si="178"/>
        <v>62723.189999999995</v>
      </c>
      <c r="G960" s="9">
        <f t="shared" si="178"/>
        <v>73548.47</v>
      </c>
      <c r="H960" s="9">
        <f t="shared" si="178"/>
        <v>75734.150000000009</v>
      </c>
      <c r="I960" s="9">
        <f t="shared" si="178"/>
        <v>74759.06</v>
      </c>
      <c r="J960" s="9">
        <f t="shared" si="178"/>
        <v>64602.61</v>
      </c>
      <c r="K960" s="9">
        <f t="shared" si="178"/>
        <v>72328.98000000001</v>
      </c>
      <c r="L960" s="9">
        <f t="shared" si="178"/>
        <v>66993.320000000007</v>
      </c>
      <c r="M960" s="9">
        <f t="shared" si="178"/>
        <v>64873.289999999994</v>
      </c>
      <c r="N960" s="9">
        <f t="shared" si="178"/>
        <v>898068.55999999994</v>
      </c>
    </row>
    <row r="961" spans="1:14" ht="4.95" customHeight="1" x14ac:dyDescent="0.2"/>
    <row r="962" spans="1:14" x14ac:dyDescent="0.2">
      <c r="A962" s="16" t="s">
        <v>600</v>
      </c>
      <c r="B962" s="9">
        <f t="shared" ref="B962:N962" si="179">B960</f>
        <v>80063.819999999978</v>
      </c>
      <c r="C962" s="9">
        <f t="shared" si="179"/>
        <v>81577.63</v>
      </c>
      <c r="D962" s="9">
        <f t="shared" si="179"/>
        <v>101979.19</v>
      </c>
      <c r="E962" s="9">
        <f t="shared" si="179"/>
        <v>78884.850000000006</v>
      </c>
      <c r="F962" s="9">
        <f t="shared" si="179"/>
        <v>62723.189999999995</v>
      </c>
      <c r="G962" s="9">
        <f t="shared" si="179"/>
        <v>73548.47</v>
      </c>
      <c r="H962" s="9">
        <f t="shared" si="179"/>
        <v>75734.150000000009</v>
      </c>
      <c r="I962" s="9">
        <f t="shared" si="179"/>
        <v>74759.06</v>
      </c>
      <c r="J962" s="9">
        <f t="shared" si="179"/>
        <v>64602.61</v>
      </c>
      <c r="K962" s="9">
        <f t="shared" si="179"/>
        <v>72328.98000000001</v>
      </c>
      <c r="L962" s="9">
        <f t="shared" si="179"/>
        <v>66993.320000000007</v>
      </c>
      <c r="M962" s="9">
        <f t="shared" si="179"/>
        <v>64873.289999999994</v>
      </c>
      <c r="N962" s="9">
        <f t="shared" si="179"/>
        <v>898068.55999999994</v>
      </c>
    </row>
    <row r="963" spans="1:14" ht="4.95" customHeight="1" x14ac:dyDescent="0.2"/>
    <row r="964" spans="1:14" x14ac:dyDescent="0.2">
      <c r="A964" s="16" t="s">
        <v>39</v>
      </c>
    </row>
    <row r="966" spans="1:14" x14ac:dyDescent="0.2">
      <c r="A966" s="16" t="s">
        <v>601</v>
      </c>
    </row>
    <row r="967" spans="1:14" x14ac:dyDescent="0.2">
      <c r="A967" s="17" t="s">
        <v>602</v>
      </c>
      <c r="B967" s="10">
        <v>23088.080000000002</v>
      </c>
      <c r="C967" s="10">
        <v>23318.01</v>
      </c>
      <c r="D967" s="10">
        <v>24052.04</v>
      </c>
      <c r="E967" s="10">
        <v>22948.04</v>
      </c>
      <c r="F967" s="10">
        <v>24766.639999999999</v>
      </c>
      <c r="G967" s="10">
        <v>26114.81</v>
      </c>
      <c r="H967" s="10">
        <v>24658.6</v>
      </c>
      <c r="I967" s="10">
        <v>24125.360000000001</v>
      </c>
      <c r="J967" s="10">
        <v>26013.46</v>
      </c>
      <c r="K967" s="10">
        <v>23518.880000000001</v>
      </c>
      <c r="L967" s="10">
        <v>23504.53</v>
      </c>
      <c r="M967" s="10">
        <v>24234.94</v>
      </c>
      <c r="N967" s="10">
        <f>B967+C967+D967+E967+F967+G967+H967+I967+J967+K967+L967+M967</f>
        <v>290343.39</v>
      </c>
    </row>
    <row r="968" spans="1:14" x14ac:dyDescent="0.2">
      <c r="A968" s="17" t="s">
        <v>603</v>
      </c>
      <c r="B968" s="10">
        <v>17552.650000000001</v>
      </c>
      <c r="C968" s="10">
        <v>25557.03</v>
      </c>
      <c r="D968" s="10">
        <v>19335.21</v>
      </c>
      <c r="E968" s="10">
        <v>14384.34</v>
      </c>
      <c r="F968" s="10">
        <v>22218.39</v>
      </c>
      <c r="G968" s="10">
        <v>16365.43</v>
      </c>
      <c r="H968" s="10">
        <v>32261.59</v>
      </c>
      <c r="I968" s="10">
        <v>19664.71</v>
      </c>
      <c r="J968" s="10">
        <v>20223.91</v>
      </c>
      <c r="K968" s="10">
        <v>19441.03</v>
      </c>
      <c r="L968" s="10">
        <v>23672.31</v>
      </c>
      <c r="M968" s="10">
        <v>17819.349999999999</v>
      </c>
      <c r="N968" s="10">
        <f>B968+C968+D968+E968+F968+G968+H968+I968+J968+K968+L968+M968</f>
        <v>248495.94999999998</v>
      </c>
    </row>
    <row r="969" spans="1:14" x14ac:dyDescent="0.2">
      <c r="A969" s="17" t="s">
        <v>604</v>
      </c>
      <c r="B969" s="10">
        <v>7542.49</v>
      </c>
      <c r="C969" s="10">
        <v>7729.32</v>
      </c>
      <c r="D969" s="10">
        <v>3941.85</v>
      </c>
      <c r="E969" s="10">
        <v>3898.01</v>
      </c>
      <c r="F969" s="10">
        <v>3805.07</v>
      </c>
      <c r="G969" s="10">
        <v>3725.22</v>
      </c>
      <c r="H969" s="10">
        <v>3924.07</v>
      </c>
      <c r="I969" s="10">
        <v>3711.27</v>
      </c>
      <c r="J969" s="10">
        <v>3426.5</v>
      </c>
      <c r="K969" s="10">
        <v>3309.93</v>
      </c>
      <c r="L969" s="10">
        <v>3832.97</v>
      </c>
      <c r="M969" s="10">
        <v>3600.21</v>
      </c>
      <c r="N969" s="10">
        <f>B969+C969+D969+E969+F969+G969+H969+I969+J969+K969+L969+M969</f>
        <v>52446.909999999996</v>
      </c>
    </row>
    <row r="970" spans="1:14" x14ac:dyDescent="0.2">
      <c r="A970" s="17" t="s">
        <v>605</v>
      </c>
      <c r="B970" s="10">
        <v>32480</v>
      </c>
      <c r="C970" s="10">
        <v>29935</v>
      </c>
      <c r="D970" s="10">
        <v>48039</v>
      </c>
      <c r="E970" s="10">
        <v>56069</v>
      </c>
      <c r="F970" s="10">
        <v>71064</v>
      </c>
      <c r="G970" s="10">
        <v>100703</v>
      </c>
      <c r="H970" s="10">
        <v>102603</v>
      </c>
      <c r="I970" s="10">
        <v>103391</v>
      </c>
      <c r="J970" s="10">
        <v>99376</v>
      </c>
      <c r="K970" s="10">
        <v>90736</v>
      </c>
      <c r="L970" s="10">
        <v>73887</v>
      </c>
      <c r="M970" s="10">
        <v>42948</v>
      </c>
      <c r="N970" s="10">
        <f>B970+C970+D970+E970+F970+G970+H970+I970+J970+K970+L970+M970</f>
        <v>851231</v>
      </c>
    </row>
    <row r="971" spans="1:14" x14ac:dyDescent="0.2">
      <c r="A971" s="17" t="s">
        <v>606</v>
      </c>
      <c r="B971" s="10">
        <v>3685.41</v>
      </c>
      <c r="C971" s="10">
        <v>3587.15</v>
      </c>
      <c r="D971" s="10">
        <v>2538.15</v>
      </c>
      <c r="E971" s="10">
        <v>3076.06</v>
      </c>
      <c r="F971" s="10">
        <v>1655.53</v>
      </c>
      <c r="G971" s="10">
        <v>3778.38</v>
      </c>
      <c r="H971" s="10">
        <v>2273.65</v>
      </c>
      <c r="I971" s="10">
        <v>1907.24</v>
      </c>
      <c r="J971" s="10">
        <v>3689.48</v>
      </c>
      <c r="K971" s="10">
        <v>3649.1</v>
      </c>
      <c r="L971" s="10">
        <v>1963.05</v>
      </c>
      <c r="M971" s="10">
        <v>4264.63</v>
      </c>
      <c r="N971" s="10">
        <f>B971+C971+D971+E971+F971+G971+H971+I971+J971+K971+L971+M971</f>
        <v>36067.83</v>
      </c>
    </row>
    <row r="972" spans="1:14" ht="4.95" customHeight="1" x14ac:dyDescent="0.2"/>
    <row r="973" spans="1:14" ht="4.95" customHeight="1" x14ac:dyDescent="0.2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</row>
    <row r="974" spans="1:14" ht="4.95" customHeight="1" x14ac:dyDescent="0.2"/>
    <row r="975" spans="1:14" x14ac:dyDescent="0.2">
      <c r="A975" s="16" t="s">
        <v>607</v>
      </c>
      <c r="B975" s="9">
        <f t="shared" ref="B975:N975" si="180">SUM(B967:B971)</f>
        <v>84348.63</v>
      </c>
      <c r="C975" s="9">
        <f t="shared" si="180"/>
        <v>90126.50999999998</v>
      </c>
      <c r="D975" s="9">
        <f t="shared" si="180"/>
        <v>97906.25</v>
      </c>
      <c r="E975" s="9">
        <f t="shared" si="180"/>
        <v>100375.45000000001</v>
      </c>
      <c r="F975" s="9">
        <f t="shared" si="180"/>
        <v>123509.63</v>
      </c>
      <c r="G975" s="9">
        <f t="shared" si="180"/>
        <v>150686.84000000003</v>
      </c>
      <c r="H975" s="9">
        <f t="shared" si="180"/>
        <v>165720.91</v>
      </c>
      <c r="I975" s="9">
        <f t="shared" si="180"/>
        <v>152799.57999999999</v>
      </c>
      <c r="J975" s="9">
        <f t="shared" si="180"/>
        <v>152729.35</v>
      </c>
      <c r="K975" s="9">
        <f t="shared" si="180"/>
        <v>140654.94</v>
      </c>
      <c r="L975" s="9">
        <f t="shared" si="180"/>
        <v>126859.86</v>
      </c>
      <c r="M975" s="9">
        <f t="shared" si="180"/>
        <v>92867.13</v>
      </c>
      <c r="N975" s="9">
        <f t="shared" si="180"/>
        <v>1478585.08</v>
      </c>
    </row>
    <row r="976" spans="1:14" ht="4.95" customHeight="1" x14ac:dyDescent="0.2"/>
    <row r="977" spans="1:14" x14ac:dyDescent="0.2">
      <c r="A977" s="16" t="s">
        <v>608</v>
      </c>
      <c r="B977" s="9">
        <f t="shared" ref="B977:N977" si="181">B975</f>
        <v>84348.63</v>
      </c>
      <c r="C977" s="9">
        <f t="shared" si="181"/>
        <v>90126.50999999998</v>
      </c>
      <c r="D977" s="9">
        <f t="shared" si="181"/>
        <v>97906.25</v>
      </c>
      <c r="E977" s="9">
        <f t="shared" si="181"/>
        <v>100375.45000000001</v>
      </c>
      <c r="F977" s="9">
        <f t="shared" si="181"/>
        <v>123509.63</v>
      </c>
      <c r="G977" s="9">
        <f t="shared" si="181"/>
        <v>150686.84000000003</v>
      </c>
      <c r="H977" s="9">
        <f t="shared" si="181"/>
        <v>165720.91</v>
      </c>
      <c r="I977" s="9">
        <f t="shared" si="181"/>
        <v>152799.57999999999</v>
      </c>
      <c r="J977" s="9">
        <f t="shared" si="181"/>
        <v>152729.35</v>
      </c>
      <c r="K977" s="9">
        <f t="shared" si="181"/>
        <v>140654.94</v>
      </c>
      <c r="L977" s="9">
        <f t="shared" si="181"/>
        <v>126859.86</v>
      </c>
      <c r="M977" s="9">
        <f t="shared" si="181"/>
        <v>92867.13</v>
      </c>
      <c r="N977" s="9">
        <f t="shared" si="181"/>
        <v>1478585.08</v>
      </c>
    </row>
    <row r="978" spans="1:14" ht="4.95" customHeight="1" x14ac:dyDescent="0.2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</row>
    <row r="979" spans="1:14" ht="4.95" customHeight="1" x14ac:dyDescent="0.2"/>
    <row r="980" spans="1:14" ht="4.95" customHeight="1" x14ac:dyDescent="0.2"/>
    <row r="981" spans="1:14" x14ac:dyDescent="0.2">
      <c r="A981" s="16" t="s">
        <v>31</v>
      </c>
      <c r="B981" s="9">
        <f t="shared" ref="B981:N981" si="182">B190+B343+B427+B514+B579+B648+B683+B706+B802+B834+B882+B896+B962+B977</f>
        <v>879813.2699999999</v>
      </c>
      <c r="C981" s="9">
        <f t="shared" si="182"/>
        <v>924664.05000000016</v>
      </c>
      <c r="D981" s="9">
        <f t="shared" si="182"/>
        <v>1056766.44</v>
      </c>
      <c r="E981" s="9">
        <f t="shared" si="182"/>
        <v>912450.65999999992</v>
      </c>
      <c r="F981" s="9">
        <f t="shared" si="182"/>
        <v>939764.70000000007</v>
      </c>
      <c r="G981" s="9">
        <f t="shared" si="182"/>
        <v>879054.86999999988</v>
      </c>
      <c r="H981" s="9">
        <f t="shared" si="182"/>
        <v>969329.64000000013</v>
      </c>
      <c r="I981" s="9">
        <f t="shared" si="182"/>
        <v>890209.07</v>
      </c>
      <c r="J981" s="9">
        <f t="shared" si="182"/>
        <v>892115.31</v>
      </c>
      <c r="K981" s="9">
        <f t="shared" si="182"/>
        <v>917010.99</v>
      </c>
      <c r="L981" s="9">
        <f t="shared" si="182"/>
        <v>926056.13</v>
      </c>
      <c r="M981" s="9">
        <f t="shared" si="182"/>
        <v>705178.34</v>
      </c>
      <c r="N981" s="9">
        <f t="shared" si="182"/>
        <v>10892413.470000001</v>
      </c>
    </row>
    <row r="982" spans="1:14" ht="4.95" customHeight="1" x14ac:dyDescent="0.2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</row>
    <row r="983" spans="1:14" ht="4.95" customHeight="1" x14ac:dyDescent="0.2"/>
    <row r="984" spans="1:14" ht="4.95" customHeight="1" x14ac:dyDescent="0.2"/>
    <row r="985" spans="1:14" x14ac:dyDescent="0.2">
      <c r="A985" s="16" t="s">
        <v>41</v>
      </c>
      <c r="B985" s="9">
        <f t="shared" ref="B985:N985" si="183">B742-B981</f>
        <v>423507.86000000022</v>
      </c>
      <c r="C985" s="9">
        <f t="shared" si="183"/>
        <v>629557.58999999973</v>
      </c>
      <c r="D985" s="9">
        <f t="shared" si="183"/>
        <v>652637.38000000012</v>
      </c>
      <c r="E985" s="9">
        <f t="shared" si="183"/>
        <v>555704.90000000014</v>
      </c>
      <c r="F985" s="9">
        <f t="shared" si="183"/>
        <v>665389.77999999991</v>
      </c>
      <c r="G985" s="9">
        <f t="shared" si="183"/>
        <v>388119.78</v>
      </c>
      <c r="H985" s="9">
        <f t="shared" si="183"/>
        <v>699447.59999999986</v>
      </c>
      <c r="I985" s="9">
        <f t="shared" si="183"/>
        <v>386215.69999999984</v>
      </c>
      <c r="J985" s="9">
        <f t="shared" si="183"/>
        <v>414197.60999999987</v>
      </c>
      <c r="K985" s="9">
        <f t="shared" si="183"/>
        <v>470330.70999999996</v>
      </c>
      <c r="L985" s="9">
        <f t="shared" si="183"/>
        <v>615573.36999999976</v>
      </c>
      <c r="M985" s="9">
        <f t="shared" si="183"/>
        <v>277801.07999999973</v>
      </c>
      <c r="N985" s="9">
        <f t="shared" si="183"/>
        <v>6178483.3599999975</v>
      </c>
    </row>
    <row r="986" spans="1:14" ht="4.95" customHeight="1" x14ac:dyDescent="0.2"/>
    <row r="987" spans="1:14" x14ac:dyDescent="0.2">
      <c r="A987" s="16" t="s">
        <v>44</v>
      </c>
    </row>
    <row r="989" spans="1:14" x14ac:dyDescent="0.2">
      <c r="A989" s="16" t="s">
        <v>609</v>
      </c>
    </row>
    <row r="990" spans="1:14" x14ac:dyDescent="0.2">
      <c r="A990" s="17" t="s">
        <v>610</v>
      </c>
      <c r="B990" s="10">
        <v>815.52</v>
      </c>
      <c r="C990" s="10">
        <v>451.04</v>
      </c>
      <c r="D990" s="10">
        <v>22023.63</v>
      </c>
      <c r="E990" s="10">
        <v>-5628.88</v>
      </c>
      <c r="F990" s="10">
        <v>451.04</v>
      </c>
      <c r="G990" s="10">
        <v>35728.730000000003</v>
      </c>
      <c r="H990" s="10">
        <v>-15601.81</v>
      </c>
      <c r="I990" s="10">
        <v>451.04</v>
      </c>
      <c r="J990" s="10">
        <v>19451.05</v>
      </c>
      <c r="K990" s="10">
        <v>-468.29</v>
      </c>
      <c r="L990" s="10">
        <v>858.71</v>
      </c>
      <c r="M990" s="10">
        <v>84509.95</v>
      </c>
      <c r="N990" s="10">
        <f>B990+C990+D990+E990+F990+G990+H990+I990+J990+K990+L990+M990</f>
        <v>143041.72999999998</v>
      </c>
    </row>
    <row r="991" spans="1:14" x14ac:dyDescent="0.2">
      <c r="A991" s="17" t="s">
        <v>611</v>
      </c>
      <c r="B991" s="10">
        <v>743.68</v>
      </c>
      <c r="C991" s="10">
        <v>743.68</v>
      </c>
      <c r="D991" s="10">
        <v>743.68</v>
      </c>
      <c r="E991" s="10">
        <v>743.68</v>
      </c>
      <c r="F991" s="10">
        <v>743.68</v>
      </c>
      <c r="G991" s="10">
        <v>743.68</v>
      </c>
      <c r="H991" s="10">
        <v>743.68</v>
      </c>
      <c r="I991" s="10">
        <v>743.68</v>
      </c>
      <c r="J991" s="10">
        <v>743.68</v>
      </c>
      <c r="K991" s="10">
        <v>743.68</v>
      </c>
      <c r="L991" s="10">
        <v>743.68</v>
      </c>
      <c r="M991" s="10">
        <v>743.68</v>
      </c>
      <c r="N991" s="10">
        <f>B991+C991+D991+E991+F991+G991+H991+I991+J991+K991+L991+M991</f>
        <v>8924.1600000000017</v>
      </c>
    </row>
    <row r="992" spans="1:14" ht="4.95" customHeight="1" x14ac:dyDescent="0.2"/>
    <row r="993" spans="1:14" ht="4.95" customHeight="1" x14ac:dyDescent="0.2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</row>
    <row r="994" spans="1:14" ht="4.95" customHeight="1" x14ac:dyDescent="0.2"/>
    <row r="995" spans="1:14" x14ac:dyDescent="0.2">
      <c r="A995" s="16" t="s">
        <v>612</v>
      </c>
      <c r="B995" s="9">
        <f t="shared" ref="B995:N995" si="184">SUM(B990:B991)</f>
        <v>1559.1999999999998</v>
      </c>
      <c r="C995" s="9">
        <f t="shared" si="184"/>
        <v>1194.72</v>
      </c>
      <c r="D995" s="9">
        <f t="shared" si="184"/>
        <v>22767.31</v>
      </c>
      <c r="E995" s="9">
        <f t="shared" si="184"/>
        <v>-4885.2</v>
      </c>
      <c r="F995" s="9">
        <f t="shared" si="184"/>
        <v>1194.72</v>
      </c>
      <c r="G995" s="9">
        <f t="shared" si="184"/>
        <v>36472.410000000003</v>
      </c>
      <c r="H995" s="9">
        <f t="shared" si="184"/>
        <v>-14858.13</v>
      </c>
      <c r="I995" s="9">
        <f t="shared" si="184"/>
        <v>1194.72</v>
      </c>
      <c r="J995" s="9">
        <f t="shared" si="184"/>
        <v>20194.73</v>
      </c>
      <c r="K995" s="9">
        <f t="shared" si="184"/>
        <v>275.38999999999993</v>
      </c>
      <c r="L995" s="9">
        <f t="shared" si="184"/>
        <v>1602.3899999999999</v>
      </c>
      <c r="M995" s="9">
        <f t="shared" si="184"/>
        <v>85253.62999999999</v>
      </c>
      <c r="N995" s="9">
        <f t="shared" si="184"/>
        <v>151965.88999999998</v>
      </c>
    </row>
    <row r="996" spans="1:14" ht="4.95" customHeight="1" x14ac:dyDescent="0.2"/>
    <row r="997" spans="1:14" x14ac:dyDescent="0.2">
      <c r="A997" s="16" t="s">
        <v>613</v>
      </c>
      <c r="B997" s="9">
        <f t="shared" ref="B997:N997" si="185">B995</f>
        <v>1559.1999999999998</v>
      </c>
      <c r="C997" s="9">
        <f t="shared" si="185"/>
        <v>1194.72</v>
      </c>
      <c r="D997" s="9">
        <f t="shared" si="185"/>
        <v>22767.31</v>
      </c>
      <c r="E997" s="9">
        <f t="shared" si="185"/>
        <v>-4885.2</v>
      </c>
      <c r="F997" s="9">
        <f t="shared" si="185"/>
        <v>1194.72</v>
      </c>
      <c r="G997" s="9">
        <f t="shared" si="185"/>
        <v>36472.410000000003</v>
      </c>
      <c r="H997" s="9">
        <f t="shared" si="185"/>
        <v>-14858.13</v>
      </c>
      <c r="I997" s="9">
        <f t="shared" si="185"/>
        <v>1194.72</v>
      </c>
      <c r="J997" s="9">
        <f t="shared" si="185"/>
        <v>20194.73</v>
      </c>
      <c r="K997" s="9">
        <f t="shared" si="185"/>
        <v>275.38999999999993</v>
      </c>
      <c r="L997" s="9">
        <f t="shared" si="185"/>
        <v>1602.3899999999999</v>
      </c>
      <c r="M997" s="9">
        <f t="shared" si="185"/>
        <v>85253.62999999999</v>
      </c>
      <c r="N997" s="9">
        <f t="shared" si="185"/>
        <v>151965.88999999998</v>
      </c>
    </row>
    <row r="998" spans="1:14" ht="4.95" customHeight="1" x14ac:dyDescent="0.2"/>
    <row r="999" spans="1:14" x14ac:dyDescent="0.2">
      <c r="A999" s="16" t="s">
        <v>43</v>
      </c>
    </row>
    <row r="1001" spans="1:14" x14ac:dyDescent="0.2">
      <c r="A1001" s="16" t="s">
        <v>614</v>
      </c>
    </row>
    <row r="1002" spans="1:14" x14ac:dyDescent="0.2">
      <c r="A1002" s="17" t="s">
        <v>615</v>
      </c>
      <c r="B1002" s="10">
        <v>61</v>
      </c>
      <c r="C1002" s="10">
        <v>154</v>
      </c>
      <c r="D1002" s="10">
        <v>677</v>
      </c>
      <c r="E1002" s="10">
        <v>393</v>
      </c>
      <c r="F1002" s="10">
        <v>255</v>
      </c>
      <c r="G1002" s="10">
        <v>0</v>
      </c>
      <c r="H1002" s="10">
        <v>0</v>
      </c>
      <c r="I1002" s="10">
        <v>0</v>
      </c>
      <c r="J1002" s="10">
        <v>0</v>
      </c>
      <c r="K1002" s="10">
        <v>675</v>
      </c>
      <c r="L1002" s="10">
        <v>450</v>
      </c>
      <c r="M1002" s="10">
        <v>713.44</v>
      </c>
      <c r="N1002" s="10">
        <f>B1002+C1002+D1002+E1002+F1002+G1002+H1002+I1002+J1002+K1002+L1002+M1002</f>
        <v>3378.44</v>
      </c>
    </row>
    <row r="1003" spans="1:14" x14ac:dyDescent="0.2">
      <c r="A1003" s="17" t="s">
        <v>616</v>
      </c>
      <c r="B1003" s="10">
        <v>38430.730000000003</v>
      </c>
      <c r="C1003" s="10">
        <v>45721.37</v>
      </c>
      <c r="D1003" s="10">
        <v>50638.18</v>
      </c>
      <c r="E1003" s="10">
        <v>43530.29</v>
      </c>
      <c r="F1003" s="10">
        <v>47653.120000000003</v>
      </c>
      <c r="G1003" s="10">
        <v>38061.279999999999</v>
      </c>
      <c r="H1003" s="10">
        <v>50053.64</v>
      </c>
      <c r="I1003" s="10">
        <v>38344.129999999997</v>
      </c>
      <c r="J1003" s="10">
        <v>39052.85</v>
      </c>
      <c r="K1003" s="10">
        <v>41858.870000000003</v>
      </c>
      <c r="L1003" s="10">
        <v>46513.120000000003</v>
      </c>
      <c r="M1003" s="10">
        <v>29808.58</v>
      </c>
      <c r="N1003" s="10">
        <f>B1003+C1003+D1003+E1003+F1003+G1003+H1003+I1003+J1003+K1003+L1003+M1003</f>
        <v>509666.16</v>
      </c>
    </row>
    <row r="1004" spans="1:14" ht="4.95" customHeight="1" x14ac:dyDescent="0.2"/>
    <row r="1005" spans="1:14" ht="4.95" customHeight="1" x14ac:dyDescent="0.2">
      <c r="A1005" s="11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</row>
    <row r="1006" spans="1:14" ht="4.95" customHeight="1" x14ac:dyDescent="0.2"/>
    <row r="1007" spans="1:14" x14ac:dyDescent="0.2">
      <c r="A1007" s="16" t="s">
        <v>617</v>
      </c>
      <c r="B1007" s="9">
        <f t="shared" ref="B1007:N1007" si="186">SUM(B1002:B1003)</f>
        <v>38491.730000000003</v>
      </c>
      <c r="C1007" s="9">
        <f t="shared" si="186"/>
        <v>45875.37</v>
      </c>
      <c r="D1007" s="9">
        <f t="shared" si="186"/>
        <v>51315.18</v>
      </c>
      <c r="E1007" s="9">
        <f t="shared" si="186"/>
        <v>43923.29</v>
      </c>
      <c r="F1007" s="9">
        <f t="shared" si="186"/>
        <v>47908.12</v>
      </c>
      <c r="G1007" s="9">
        <f t="shared" si="186"/>
        <v>38061.279999999999</v>
      </c>
      <c r="H1007" s="9">
        <f t="shared" si="186"/>
        <v>50053.64</v>
      </c>
      <c r="I1007" s="9">
        <f t="shared" si="186"/>
        <v>38344.129999999997</v>
      </c>
      <c r="J1007" s="9">
        <f t="shared" si="186"/>
        <v>39052.85</v>
      </c>
      <c r="K1007" s="9">
        <f t="shared" si="186"/>
        <v>42533.87</v>
      </c>
      <c r="L1007" s="9">
        <f t="shared" si="186"/>
        <v>46963.12</v>
      </c>
      <c r="M1007" s="9">
        <f t="shared" si="186"/>
        <v>30522.02</v>
      </c>
      <c r="N1007" s="9">
        <f t="shared" si="186"/>
        <v>513044.6</v>
      </c>
    </row>
    <row r="1008" spans="1:14" ht="4.95" customHeight="1" x14ac:dyDescent="0.2"/>
    <row r="1009" spans="1:14" x14ac:dyDescent="0.2">
      <c r="A1009" s="16" t="s">
        <v>618</v>
      </c>
      <c r="B1009" s="9">
        <f t="shared" ref="B1009:N1009" si="187">B1007</f>
        <v>38491.730000000003</v>
      </c>
      <c r="C1009" s="9">
        <f t="shared" si="187"/>
        <v>45875.37</v>
      </c>
      <c r="D1009" s="9">
        <f t="shared" si="187"/>
        <v>51315.18</v>
      </c>
      <c r="E1009" s="9">
        <f t="shared" si="187"/>
        <v>43923.29</v>
      </c>
      <c r="F1009" s="9">
        <f t="shared" si="187"/>
        <v>47908.12</v>
      </c>
      <c r="G1009" s="9">
        <f t="shared" si="187"/>
        <v>38061.279999999999</v>
      </c>
      <c r="H1009" s="9">
        <f t="shared" si="187"/>
        <v>50053.64</v>
      </c>
      <c r="I1009" s="9">
        <f t="shared" si="187"/>
        <v>38344.129999999997</v>
      </c>
      <c r="J1009" s="9">
        <f t="shared" si="187"/>
        <v>39052.85</v>
      </c>
      <c r="K1009" s="9">
        <f t="shared" si="187"/>
        <v>42533.87</v>
      </c>
      <c r="L1009" s="9">
        <f t="shared" si="187"/>
        <v>46963.12</v>
      </c>
      <c r="M1009" s="9">
        <f t="shared" si="187"/>
        <v>30522.02</v>
      </c>
      <c r="N1009" s="9">
        <f t="shared" si="187"/>
        <v>513044.6</v>
      </c>
    </row>
    <row r="1010" spans="1:14" ht="4.95" customHeight="1" x14ac:dyDescent="0.2"/>
    <row r="1011" spans="1:14" x14ac:dyDescent="0.2">
      <c r="A1011" s="16" t="s">
        <v>48</v>
      </c>
    </row>
    <row r="1013" spans="1:14" x14ac:dyDescent="0.2">
      <c r="A1013" s="16" t="s">
        <v>619</v>
      </c>
    </row>
    <row r="1014" spans="1:14" x14ac:dyDescent="0.2">
      <c r="A1014" s="17" t="s">
        <v>620</v>
      </c>
      <c r="B1014" s="10">
        <v>44324.1</v>
      </c>
      <c r="C1014" s="10">
        <v>44324.1</v>
      </c>
      <c r="D1014" s="10">
        <v>44324.1</v>
      </c>
      <c r="E1014" s="10">
        <v>44324.1</v>
      </c>
      <c r="F1014" s="10">
        <v>44324.1</v>
      </c>
      <c r="G1014" s="10">
        <v>44324.1</v>
      </c>
      <c r="H1014" s="10">
        <v>44324.1</v>
      </c>
      <c r="I1014" s="10">
        <v>44324.1</v>
      </c>
      <c r="J1014" s="10">
        <v>44324.1</v>
      </c>
      <c r="K1014" s="10">
        <v>44324.1</v>
      </c>
      <c r="L1014" s="10">
        <v>62128.2</v>
      </c>
      <c r="M1014" s="10">
        <v>62552</v>
      </c>
      <c r="N1014" s="10">
        <f>B1014+C1014+D1014+E1014+F1014+G1014+H1014+I1014+J1014+K1014+L1014+M1014</f>
        <v>567921.19999999995</v>
      </c>
    </row>
    <row r="1015" spans="1:14" x14ac:dyDescent="0.2">
      <c r="A1015" s="17" t="s">
        <v>621</v>
      </c>
      <c r="B1015" s="10">
        <v>1723.4</v>
      </c>
      <c r="C1015" s="10">
        <v>1723.4</v>
      </c>
      <c r="D1015" s="10">
        <v>1723.4</v>
      </c>
      <c r="E1015" s="10">
        <v>1723.4</v>
      </c>
      <c r="F1015" s="10">
        <v>1723.4</v>
      </c>
      <c r="G1015" s="10">
        <v>1723.4</v>
      </c>
      <c r="H1015" s="10">
        <v>1723.4</v>
      </c>
      <c r="I1015" s="10">
        <v>1723.4</v>
      </c>
      <c r="J1015" s="10">
        <v>1723.4</v>
      </c>
      <c r="K1015" s="10">
        <v>1723.4</v>
      </c>
      <c r="L1015" s="10">
        <v>1723.4</v>
      </c>
      <c r="M1015" s="10">
        <v>1723.4</v>
      </c>
      <c r="N1015" s="10">
        <f>B1015+C1015+D1015+E1015+F1015+G1015+H1015+I1015+J1015+K1015+L1015+M1015</f>
        <v>20680.800000000003</v>
      </c>
    </row>
    <row r="1016" spans="1:14" ht="4.95" customHeight="1" x14ac:dyDescent="0.2"/>
    <row r="1017" spans="1:14" ht="4.95" customHeight="1" x14ac:dyDescent="0.2">
      <c r="A1017" s="11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</row>
    <row r="1018" spans="1:14" ht="4.95" customHeight="1" x14ac:dyDescent="0.2"/>
    <row r="1019" spans="1:14" x14ac:dyDescent="0.2">
      <c r="A1019" s="16" t="s">
        <v>622</v>
      </c>
      <c r="B1019" s="9">
        <f t="shared" ref="B1019:N1019" si="188">SUM(B1014:B1015)</f>
        <v>46047.5</v>
      </c>
      <c r="C1019" s="9">
        <f t="shared" si="188"/>
        <v>46047.5</v>
      </c>
      <c r="D1019" s="9">
        <f t="shared" si="188"/>
        <v>46047.5</v>
      </c>
      <c r="E1019" s="9">
        <f t="shared" si="188"/>
        <v>46047.5</v>
      </c>
      <c r="F1019" s="9">
        <f t="shared" si="188"/>
        <v>46047.5</v>
      </c>
      <c r="G1019" s="9">
        <f t="shared" si="188"/>
        <v>46047.5</v>
      </c>
      <c r="H1019" s="9">
        <f t="shared" si="188"/>
        <v>46047.5</v>
      </c>
      <c r="I1019" s="9">
        <f t="shared" si="188"/>
        <v>46047.5</v>
      </c>
      <c r="J1019" s="9">
        <f t="shared" si="188"/>
        <v>46047.5</v>
      </c>
      <c r="K1019" s="9">
        <f t="shared" si="188"/>
        <v>46047.5</v>
      </c>
      <c r="L1019" s="9">
        <f t="shared" si="188"/>
        <v>63851.6</v>
      </c>
      <c r="M1019" s="9">
        <f t="shared" si="188"/>
        <v>64275.4</v>
      </c>
      <c r="N1019" s="9">
        <f t="shared" si="188"/>
        <v>588602</v>
      </c>
    </row>
    <row r="1020" spans="1:14" ht="4.95" customHeight="1" x14ac:dyDescent="0.2"/>
    <row r="1021" spans="1:14" x14ac:dyDescent="0.2">
      <c r="A1021" s="16" t="s">
        <v>623</v>
      </c>
      <c r="B1021" s="9">
        <f t="shared" ref="B1021:N1021" si="189">B1019</f>
        <v>46047.5</v>
      </c>
      <c r="C1021" s="9">
        <f t="shared" si="189"/>
        <v>46047.5</v>
      </c>
      <c r="D1021" s="9">
        <f t="shared" si="189"/>
        <v>46047.5</v>
      </c>
      <c r="E1021" s="9">
        <f t="shared" si="189"/>
        <v>46047.5</v>
      </c>
      <c r="F1021" s="9">
        <f t="shared" si="189"/>
        <v>46047.5</v>
      </c>
      <c r="G1021" s="9">
        <f t="shared" si="189"/>
        <v>46047.5</v>
      </c>
      <c r="H1021" s="9">
        <f t="shared" si="189"/>
        <v>46047.5</v>
      </c>
      <c r="I1021" s="9">
        <f t="shared" si="189"/>
        <v>46047.5</v>
      </c>
      <c r="J1021" s="9">
        <f t="shared" si="189"/>
        <v>46047.5</v>
      </c>
      <c r="K1021" s="9">
        <f t="shared" si="189"/>
        <v>46047.5</v>
      </c>
      <c r="L1021" s="9">
        <f t="shared" si="189"/>
        <v>63851.6</v>
      </c>
      <c r="M1021" s="9">
        <f t="shared" si="189"/>
        <v>64275.4</v>
      </c>
      <c r="N1021" s="9">
        <f t="shared" si="189"/>
        <v>588602</v>
      </c>
    </row>
    <row r="1022" spans="1:14" ht="4.95" customHeight="1" x14ac:dyDescent="0.2"/>
    <row r="1023" spans="1:14" x14ac:dyDescent="0.2">
      <c r="A1023" s="16" t="s">
        <v>49</v>
      </c>
    </row>
    <row r="1025" spans="1:14" x14ac:dyDescent="0.2">
      <c r="A1025" s="16" t="s">
        <v>624</v>
      </c>
    </row>
    <row r="1026" spans="1:14" x14ac:dyDescent="0.2">
      <c r="A1026" s="17" t="s">
        <v>625</v>
      </c>
      <c r="B1026" s="10">
        <v>14597.91</v>
      </c>
      <c r="C1026" s="10">
        <v>15722.45</v>
      </c>
      <c r="D1026" s="10">
        <v>15722.45</v>
      </c>
      <c r="E1026" s="10">
        <v>15722.45</v>
      </c>
      <c r="F1026" s="10">
        <v>15722.45</v>
      </c>
      <c r="G1026" s="10">
        <v>15722.45</v>
      </c>
      <c r="H1026" s="10">
        <v>17627.71</v>
      </c>
      <c r="I1026" s="10">
        <v>17627.73</v>
      </c>
      <c r="J1026" s="10">
        <v>16503.169999999998</v>
      </c>
      <c r="K1026" s="10">
        <v>16317.92</v>
      </c>
      <c r="L1026" s="10">
        <v>16317.92</v>
      </c>
      <c r="M1026" s="10">
        <v>16317.92</v>
      </c>
      <c r="N1026" s="10">
        <f>B1026+C1026+D1026+E1026+F1026+G1026+H1026+I1026+J1026+K1026+L1026+M1026</f>
        <v>193922.53000000003</v>
      </c>
    </row>
    <row r="1027" spans="1:14" x14ac:dyDescent="0.2">
      <c r="A1027" s="17" t="s">
        <v>626</v>
      </c>
      <c r="B1027" s="10">
        <v>8.33</v>
      </c>
      <c r="C1027" s="10">
        <v>826.19</v>
      </c>
      <c r="D1027" s="10">
        <v>2929.69</v>
      </c>
      <c r="E1027" s="10">
        <v>826.19</v>
      </c>
      <c r="F1027" s="10">
        <v>956.82</v>
      </c>
      <c r="G1027" s="10">
        <v>826.19</v>
      </c>
      <c r="H1027" s="10">
        <v>826.19</v>
      </c>
      <c r="I1027" s="10">
        <v>826.17</v>
      </c>
      <c r="J1027" s="10">
        <v>8.3699999999999992</v>
      </c>
      <c r="K1027" s="10">
        <v>0</v>
      </c>
      <c r="L1027" s="10">
        <v>0</v>
      </c>
      <c r="M1027" s="10">
        <v>0</v>
      </c>
      <c r="N1027" s="10">
        <f>B1027+C1027+D1027+E1027+F1027+G1027+H1027+I1027+J1027+K1027+L1027+M1027</f>
        <v>8034.14</v>
      </c>
    </row>
    <row r="1028" spans="1:14" x14ac:dyDescent="0.2">
      <c r="A1028" s="17" t="s">
        <v>627</v>
      </c>
      <c r="B1028" s="10">
        <v>2895.5</v>
      </c>
      <c r="C1028" s="10">
        <v>2895.5</v>
      </c>
      <c r="D1028" s="10">
        <v>4941.42</v>
      </c>
      <c r="E1028" s="10">
        <v>2895.5</v>
      </c>
      <c r="F1028" s="10">
        <v>3315.5</v>
      </c>
      <c r="G1028" s="10">
        <v>2895.5</v>
      </c>
      <c r="H1028" s="10">
        <v>4514.42</v>
      </c>
      <c r="I1028" s="10">
        <v>2321.59</v>
      </c>
      <c r="J1028" s="10">
        <v>2321.59</v>
      </c>
      <c r="K1028" s="10">
        <v>3505.43</v>
      </c>
      <c r="L1028" s="10">
        <v>2644.59</v>
      </c>
      <c r="M1028" s="10">
        <v>2483.09</v>
      </c>
      <c r="N1028" s="10">
        <f>B1028+C1028+D1028+E1028+F1028+G1028+H1028+I1028+J1028+K1028+L1028+M1028</f>
        <v>37629.62999999999</v>
      </c>
    </row>
    <row r="1029" spans="1:14" x14ac:dyDescent="0.2">
      <c r="A1029" s="17" t="s">
        <v>628</v>
      </c>
      <c r="B1029" s="10">
        <v>1544.46</v>
      </c>
      <c r="C1029" s="10">
        <v>1544.46</v>
      </c>
      <c r="D1029" s="10">
        <v>1544.46</v>
      </c>
      <c r="E1029" s="10">
        <v>1544.46</v>
      </c>
      <c r="F1029" s="10">
        <v>1544.46</v>
      </c>
      <c r="G1029" s="10">
        <v>1544.46</v>
      </c>
      <c r="H1029" s="10">
        <v>1544.51</v>
      </c>
      <c r="I1029" s="10">
        <v>1445.89</v>
      </c>
      <c r="J1029" s="10">
        <v>1445.89</v>
      </c>
      <c r="K1029" s="10">
        <v>1445.89</v>
      </c>
      <c r="L1029" s="10">
        <v>1445.89</v>
      </c>
      <c r="M1029" s="10">
        <v>1445.89</v>
      </c>
      <c r="N1029" s="10">
        <f>B1029+C1029+D1029+E1029+F1029+G1029+H1029+I1029+J1029+K1029+L1029+M1029</f>
        <v>18040.719999999998</v>
      </c>
    </row>
    <row r="1030" spans="1:14" x14ac:dyDescent="0.2">
      <c r="A1030" s="17" t="s">
        <v>629</v>
      </c>
      <c r="B1030" s="10">
        <v>0</v>
      </c>
      <c r="C1030" s="10">
        <v>0</v>
      </c>
      <c r="D1030" s="10">
        <v>0</v>
      </c>
      <c r="E1030" s="10">
        <v>0</v>
      </c>
      <c r="F1030" s="10">
        <v>1827.39</v>
      </c>
      <c r="G1030" s="10">
        <v>0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f>B1030+C1030+D1030+E1030+F1030+G1030+H1030+I1030+J1030+K1030+L1030+M1030</f>
        <v>1827.39</v>
      </c>
    </row>
    <row r="1031" spans="1:14" ht="4.95" customHeight="1" x14ac:dyDescent="0.2"/>
    <row r="1032" spans="1:14" ht="4.95" customHeight="1" x14ac:dyDescent="0.2">
      <c r="A1032" s="11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</row>
    <row r="1033" spans="1:14" ht="4.95" customHeight="1" x14ac:dyDescent="0.2"/>
    <row r="1034" spans="1:14" x14ac:dyDescent="0.2">
      <c r="A1034" s="16" t="s">
        <v>630</v>
      </c>
      <c r="B1034" s="9">
        <f t="shared" ref="B1034:N1034" si="190">SUM(B1026:B1030)</f>
        <v>19046.199999999997</v>
      </c>
      <c r="C1034" s="9">
        <f t="shared" si="190"/>
        <v>20988.6</v>
      </c>
      <c r="D1034" s="9">
        <f t="shared" si="190"/>
        <v>25138.019999999997</v>
      </c>
      <c r="E1034" s="9">
        <f t="shared" si="190"/>
        <v>20988.6</v>
      </c>
      <c r="F1034" s="9">
        <f t="shared" si="190"/>
        <v>23366.62</v>
      </c>
      <c r="G1034" s="9">
        <f t="shared" si="190"/>
        <v>20988.6</v>
      </c>
      <c r="H1034" s="9">
        <f t="shared" si="190"/>
        <v>24512.829999999998</v>
      </c>
      <c r="I1034" s="9">
        <f t="shared" si="190"/>
        <v>22221.379999999997</v>
      </c>
      <c r="J1034" s="9">
        <f t="shared" si="190"/>
        <v>20279.019999999997</v>
      </c>
      <c r="K1034" s="9">
        <f t="shared" si="190"/>
        <v>21269.239999999998</v>
      </c>
      <c r="L1034" s="9">
        <f t="shared" si="190"/>
        <v>20408.400000000001</v>
      </c>
      <c r="M1034" s="9">
        <f t="shared" si="190"/>
        <v>20246.900000000001</v>
      </c>
      <c r="N1034" s="9">
        <f t="shared" si="190"/>
        <v>259454.41000000006</v>
      </c>
    </row>
    <row r="1035" spans="1:14" ht="4.95" customHeight="1" x14ac:dyDescent="0.2"/>
    <row r="1036" spans="1:14" x14ac:dyDescent="0.2">
      <c r="A1036" s="16" t="s">
        <v>631</v>
      </c>
      <c r="B1036" s="9">
        <f t="shared" ref="B1036:N1036" si="191">B1034</f>
        <v>19046.199999999997</v>
      </c>
      <c r="C1036" s="9">
        <f t="shared" si="191"/>
        <v>20988.6</v>
      </c>
      <c r="D1036" s="9">
        <f t="shared" si="191"/>
        <v>25138.019999999997</v>
      </c>
      <c r="E1036" s="9">
        <f t="shared" si="191"/>
        <v>20988.6</v>
      </c>
      <c r="F1036" s="9">
        <f t="shared" si="191"/>
        <v>23366.62</v>
      </c>
      <c r="G1036" s="9">
        <f t="shared" si="191"/>
        <v>20988.6</v>
      </c>
      <c r="H1036" s="9">
        <f t="shared" si="191"/>
        <v>24512.829999999998</v>
      </c>
      <c r="I1036" s="9">
        <f t="shared" si="191"/>
        <v>22221.379999999997</v>
      </c>
      <c r="J1036" s="9">
        <f t="shared" si="191"/>
        <v>20279.019999999997</v>
      </c>
      <c r="K1036" s="9">
        <f t="shared" si="191"/>
        <v>21269.239999999998</v>
      </c>
      <c r="L1036" s="9">
        <f t="shared" si="191"/>
        <v>20408.400000000001</v>
      </c>
      <c r="M1036" s="9">
        <f t="shared" si="191"/>
        <v>20246.900000000001</v>
      </c>
      <c r="N1036" s="9">
        <f t="shared" si="191"/>
        <v>259454.41000000006</v>
      </c>
    </row>
    <row r="1037" spans="1:14" ht="4.95" customHeight="1" x14ac:dyDescent="0.2"/>
    <row r="1038" spans="1:14" x14ac:dyDescent="0.2">
      <c r="A1038" s="16" t="s">
        <v>50</v>
      </c>
    </row>
    <row r="1040" spans="1:14" x14ac:dyDescent="0.2">
      <c r="A1040" s="16" t="s">
        <v>632</v>
      </c>
    </row>
    <row r="1041" spans="1:14" x14ac:dyDescent="0.2">
      <c r="A1041" s="17" t="s">
        <v>633</v>
      </c>
      <c r="B1041" s="10">
        <v>-675.77</v>
      </c>
      <c r="C1041" s="10">
        <v>0</v>
      </c>
      <c r="D1041" s="10">
        <v>-68482.64</v>
      </c>
      <c r="E1041" s="10">
        <v>0</v>
      </c>
      <c r="F1041" s="10">
        <v>0</v>
      </c>
      <c r="G1041" s="10">
        <v>0</v>
      </c>
      <c r="H1041" s="10">
        <v>0</v>
      </c>
      <c r="I1041" s="10">
        <v>0</v>
      </c>
      <c r="J1041" s="10">
        <v>-0.01</v>
      </c>
      <c r="K1041" s="10">
        <v>0</v>
      </c>
      <c r="L1041" s="10">
        <v>0</v>
      </c>
      <c r="M1041" s="10">
        <v>-8727.84</v>
      </c>
      <c r="N1041" s="10">
        <f>B1041+C1041+D1041+E1041+F1041+G1041+H1041+I1041+J1041+K1041+L1041+M1041</f>
        <v>-77886.259999999995</v>
      </c>
    </row>
    <row r="1042" spans="1:14" ht="4.95" customHeight="1" x14ac:dyDescent="0.2"/>
    <row r="1043" spans="1:14" ht="4.95" customHeight="1" x14ac:dyDescent="0.2">
      <c r="A1043" s="11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</row>
    <row r="1044" spans="1:14" ht="4.95" customHeight="1" x14ac:dyDescent="0.2"/>
    <row r="1045" spans="1:14" x14ac:dyDescent="0.2">
      <c r="A1045" s="16" t="s">
        <v>634</v>
      </c>
      <c r="B1045" s="9">
        <f t="shared" ref="B1045:N1045" si="192">B1041</f>
        <v>-675.77</v>
      </c>
      <c r="C1045" s="9">
        <f t="shared" si="192"/>
        <v>0</v>
      </c>
      <c r="D1045" s="9">
        <f t="shared" si="192"/>
        <v>-68482.64</v>
      </c>
      <c r="E1045" s="9">
        <f t="shared" si="192"/>
        <v>0</v>
      </c>
      <c r="F1045" s="9">
        <f t="shared" si="192"/>
        <v>0</v>
      </c>
      <c r="G1045" s="9">
        <f t="shared" si="192"/>
        <v>0</v>
      </c>
      <c r="H1045" s="9">
        <f t="shared" si="192"/>
        <v>0</v>
      </c>
      <c r="I1045" s="9">
        <f t="shared" si="192"/>
        <v>0</v>
      </c>
      <c r="J1045" s="9">
        <f t="shared" si="192"/>
        <v>-0.01</v>
      </c>
      <c r="K1045" s="9">
        <f t="shared" si="192"/>
        <v>0</v>
      </c>
      <c r="L1045" s="9">
        <f t="shared" si="192"/>
        <v>0</v>
      </c>
      <c r="M1045" s="9">
        <f t="shared" si="192"/>
        <v>-8727.84</v>
      </c>
      <c r="N1045" s="9">
        <f t="shared" si="192"/>
        <v>-77886.259999999995</v>
      </c>
    </row>
    <row r="1046" spans="1:14" ht="4.95" customHeight="1" x14ac:dyDescent="0.2"/>
    <row r="1047" spans="1:14" x14ac:dyDescent="0.2">
      <c r="A1047" s="16" t="s">
        <v>635</v>
      </c>
      <c r="B1047" s="9">
        <f t="shared" ref="B1047:N1047" si="193">B1045</f>
        <v>-675.77</v>
      </c>
      <c r="C1047" s="9">
        <f t="shared" si="193"/>
        <v>0</v>
      </c>
      <c r="D1047" s="9">
        <f t="shared" si="193"/>
        <v>-68482.64</v>
      </c>
      <c r="E1047" s="9">
        <f t="shared" si="193"/>
        <v>0</v>
      </c>
      <c r="F1047" s="9">
        <f t="shared" si="193"/>
        <v>0</v>
      </c>
      <c r="G1047" s="9">
        <f t="shared" si="193"/>
        <v>0</v>
      </c>
      <c r="H1047" s="9">
        <f t="shared" si="193"/>
        <v>0</v>
      </c>
      <c r="I1047" s="9">
        <f t="shared" si="193"/>
        <v>0</v>
      </c>
      <c r="J1047" s="9">
        <f t="shared" si="193"/>
        <v>-0.01</v>
      </c>
      <c r="K1047" s="9">
        <f t="shared" si="193"/>
        <v>0</v>
      </c>
      <c r="L1047" s="9">
        <f t="shared" si="193"/>
        <v>0</v>
      </c>
      <c r="M1047" s="9">
        <f t="shared" si="193"/>
        <v>-8727.84</v>
      </c>
      <c r="N1047" s="9">
        <f t="shared" si="193"/>
        <v>-77886.259999999995</v>
      </c>
    </row>
    <row r="1048" spans="1:14" ht="4.95" customHeight="1" x14ac:dyDescent="0.2"/>
    <row r="1049" spans="1:14" x14ac:dyDescent="0.2">
      <c r="A1049" s="16" t="s">
        <v>52</v>
      </c>
    </row>
    <row r="1051" spans="1:14" x14ac:dyDescent="0.2">
      <c r="A1051" s="16" t="s">
        <v>636</v>
      </c>
    </row>
    <row r="1052" spans="1:14" x14ac:dyDescent="0.2">
      <c r="A1052" s="17" t="s">
        <v>637</v>
      </c>
      <c r="B1052" s="10">
        <v>8250.7999999999993</v>
      </c>
      <c r="C1052" s="10">
        <v>7929.4</v>
      </c>
      <c r="D1052" s="10">
        <v>8842.94</v>
      </c>
      <c r="E1052" s="10">
        <v>9501.57</v>
      </c>
      <c r="F1052" s="10">
        <v>9488.2199999999993</v>
      </c>
      <c r="G1052" s="10">
        <v>8059.58</v>
      </c>
      <c r="H1052" s="10">
        <v>8732.58</v>
      </c>
      <c r="I1052" s="10">
        <v>8897</v>
      </c>
      <c r="J1052" s="10">
        <v>8907.41</v>
      </c>
      <c r="K1052" s="10">
        <v>8987.14</v>
      </c>
      <c r="L1052" s="10">
        <v>8385.2199999999993</v>
      </c>
      <c r="M1052" s="10">
        <v>7822.77</v>
      </c>
      <c r="N1052" s="10">
        <f>B1052+C1052+D1052+E1052+F1052+G1052+H1052+I1052+J1052+K1052+L1052+M1052</f>
        <v>103804.63</v>
      </c>
    </row>
    <row r="1053" spans="1:14" x14ac:dyDescent="0.2">
      <c r="A1053" s="17" t="s">
        <v>638</v>
      </c>
      <c r="B1053" s="10">
        <v>0</v>
      </c>
      <c r="C1053" s="10">
        <v>0</v>
      </c>
      <c r="D1053" s="10">
        <v>0</v>
      </c>
      <c r="E1053" s="10">
        <v>0</v>
      </c>
      <c r="F1053" s="10">
        <v>0</v>
      </c>
      <c r="G1053" s="10">
        <v>0</v>
      </c>
      <c r="H1053" s="10">
        <v>0</v>
      </c>
      <c r="I1053" s="10">
        <v>0</v>
      </c>
      <c r="J1053" s="10">
        <v>0</v>
      </c>
      <c r="K1053" s="10">
        <v>0</v>
      </c>
      <c r="L1053" s="10">
        <v>0</v>
      </c>
      <c r="M1053" s="10">
        <v>216949</v>
      </c>
      <c r="N1053" s="10">
        <f>B1053+C1053+D1053+E1053+F1053+G1053+H1053+I1053+J1053+K1053+L1053+M1053</f>
        <v>216949</v>
      </c>
    </row>
    <row r="1054" spans="1:14" ht="4.95" customHeight="1" x14ac:dyDescent="0.2"/>
    <row r="1055" spans="1:14" ht="4.95" customHeight="1" x14ac:dyDescent="0.2">
      <c r="A1055" s="11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</row>
    <row r="1056" spans="1:14" ht="4.95" customHeight="1" x14ac:dyDescent="0.2"/>
    <row r="1057" spans="1:14" x14ac:dyDescent="0.2">
      <c r="A1057" s="16" t="s">
        <v>639</v>
      </c>
      <c r="B1057" s="9">
        <f t="shared" ref="B1057:N1057" si="194">SUM(B1052:B1053)</f>
        <v>8250.7999999999993</v>
      </c>
      <c r="C1057" s="9">
        <f t="shared" si="194"/>
        <v>7929.4</v>
      </c>
      <c r="D1057" s="9">
        <f t="shared" si="194"/>
        <v>8842.94</v>
      </c>
      <c r="E1057" s="9">
        <f t="shared" si="194"/>
        <v>9501.57</v>
      </c>
      <c r="F1057" s="9">
        <f t="shared" si="194"/>
        <v>9488.2199999999993</v>
      </c>
      <c r="G1057" s="9">
        <f t="shared" si="194"/>
        <v>8059.58</v>
      </c>
      <c r="H1057" s="9">
        <f t="shared" si="194"/>
        <v>8732.58</v>
      </c>
      <c r="I1057" s="9">
        <f t="shared" si="194"/>
        <v>8897</v>
      </c>
      <c r="J1057" s="9">
        <f t="shared" si="194"/>
        <v>8907.41</v>
      </c>
      <c r="K1057" s="9">
        <f t="shared" si="194"/>
        <v>8987.14</v>
      </c>
      <c r="L1057" s="9">
        <f t="shared" si="194"/>
        <v>8385.2199999999993</v>
      </c>
      <c r="M1057" s="9">
        <f t="shared" si="194"/>
        <v>224771.77</v>
      </c>
      <c r="N1057" s="9">
        <f t="shared" si="194"/>
        <v>320753.63</v>
      </c>
    </row>
    <row r="1058" spans="1:14" ht="4.95" customHeight="1" x14ac:dyDescent="0.2"/>
    <row r="1059" spans="1:14" ht="4.95" customHeight="1" x14ac:dyDescent="0.2"/>
    <row r="1060" spans="1:14" x14ac:dyDescent="0.2">
      <c r="A1060" s="16" t="s">
        <v>55</v>
      </c>
    </row>
    <row r="1062" spans="1:14" x14ac:dyDescent="0.2">
      <c r="A1062" s="16" t="s">
        <v>640</v>
      </c>
    </row>
    <row r="1063" spans="1:14" x14ac:dyDescent="0.2">
      <c r="A1063" s="17" t="s">
        <v>641</v>
      </c>
      <c r="B1063" s="10">
        <v>150850.42000000001</v>
      </c>
      <c r="C1063" s="10">
        <v>140873.79999999999</v>
      </c>
      <c r="D1063" s="10">
        <v>150284.57999999999</v>
      </c>
      <c r="E1063" s="10">
        <v>145181.54999999999</v>
      </c>
      <c r="F1063" s="10">
        <v>149735.04999999999</v>
      </c>
      <c r="G1063" s="10">
        <v>144647.43</v>
      </c>
      <c r="H1063" s="10">
        <v>149180.79999999999</v>
      </c>
      <c r="I1063" s="10">
        <v>148912.34</v>
      </c>
      <c r="J1063" s="10">
        <v>143847.79</v>
      </c>
      <c r="K1063" s="10">
        <v>148351.01999999999</v>
      </c>
      <c r="L1063" s="10">
        <v>143302.21</v>
      </c>
      <c r="M1063" s="10">
        <v>147784.87</v>
      </c>
      <c r="N1063" s="10">
        <f>B1063+C1063+D1063+E1063+F1063+G1063+H1063+I1063+J1063+K1063+L1063+M1063</f>
        <v>1762951.8599999999</v>
      </c>
    </row>
    <row r="1064" spans="1:14" x14ac:dyDescent="0.2">
      <c r="A1064" s="17" t="s">
        <v>642</v>
      </c>
      <c r="B1064" s="10">
        <v>107.66</v>
      </c>
      <c r="C1064" s="10">
        <v>108.2</v>
      </c>
      <c r="D1064" s="10">
        <v>98.28</v>
      </c>
      <c r="E1064" s="10">
        <v>101.9</v>
      </c>
      <c r="F1064" s="10">
        <v>95.56</v>
      </c>
      <c r="G1064" s="10">
        <v>95.59</v>
      </c>
      <c r="H1064" s="10">
        <v>89.45</v>
      </c>
      <c r="I1064" s="10">
        <v>89.26</v>
      </c>
      <c r="J1064" s="10">
        <v>86.1</v>
      </c>
      <c r="K1064" s="10">
        <v>80.25</v>
      </c>
      <c r="L1064" s="10">
        <v>6757.55</v>
      </c>
      <c r="M1064" s="10">
        <v>74.12</v>
      </c>
      <c r="N1064" s="10">
        <f>B1064+C1064+D1064+E1064+F1064+G1064+H1064+I1064+J1064+K1064+L1064+M1064</f>
        <v>7783.92</v>
      </c>
    </row>
    <row r="1065" spans="1:14" ht="4.95" customHeight="1" x14ac:dyDescent="0.2"/>
    <row r="1066" spans="1:14" ht="4.95" customHeight="1" x14ac:dyDescent="0.2">
      <c r="A1066" s="11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</row>
    <row r="1067" spans="1:14" ht="4.95" customHeight="1" x14ac:dyDescent="0.2"/>
    <row r="1068" spans="1:14" x14ac:dyDescent="0.2">
      <c r="A1068" s="16" t="s">
        <v>643</v>
      </c>
      <c r="B1068" s="9">
        <f t="shared" ref="B1068:N1068" si="195">SUM(B1063:B1064)</f>
        <v>150958.08000000002</v>
      </c>
      <c r="C1068" s="9">
        <f t="shared" si="195"/>
        <v>140982</v>
      </c>
      <c r="D1068" s="9">
        <f t="shared" si="195"/>
        <v>150382.85999999999</v>
      </c>
      <c r="E1068" s="9">
        <f t="shared" si="195"/>
        <v>145283.44999999998</v>
      </c>
      <c r="F1068" s="9">
        <f t="shared" si="195"/>
        <v>149830.60999999999</v>
      </c>
      <c r="G1068" s="9">
        <f t="shared" si="195"/>
        <v>144743.01999999999</v>
      </c>
      <c r="H1068" s="9">
        <f t="shared" si="195"/>
        <v>149270.25</v>
      </c>
      <c r="I1068" s="9">
        <f t="shared" si="195"/>
        <v>149001.60000000001</v>
      </c>
      <c r="J1068" s="9">
        <f t="shared" si="195"/>
        <v>143933.89000000001</v>
      </c>
      <c r="K1068" s="9">
        <f t="shared" si="195"/>
        <v>148431.26999999999</v>
      </c>
      <c r="L1068" s="9">
        <f t="shared" si="195"/>
        <v>150059.75999999998</v>
      </c>
      <c r="M1068" s="9">
        <f t="shared" si="195"/>
        <v>147858.99</v>
      </c>
      <c r="N1068" s="9">
        <f t="shared" si="195"/>
        <v>1770735.7799999998</v>
      </c>
    </row>
    <row r="1069" spans="1:14" ht="4.95" customHeight="1" x14ac:dyDescent="0.2"/>
    <row r="1070" spans="1:14" x14ac:dyDescent="0.2">
      <c r="A1070" s="16" t="s">
        <v>644</v>
      </c>
      <c r="B1070" s="9">
        <f t="shared" ref="B1070:N1070" si="196">B1068</f>
        <v>150958.08000000002</v>
      </c>
      <c r="C1070" s="9">
        <f t="shared" si="196"/>
        <v>140982</v>
      </c>
      <c r="D1070" s="9">
        <f t="shared" si="196"/>
        <v>150382.85999999999</v>
      </c>
      <c r="E1070" s="9">
        <f t="shared" si="196"/>
        <v>145283.44999999998</v>
      </c>
      <c r="F1070" s="9">
        <f t="shared" si="196"/>
        <v>149830.60999999999</v>
      </c>
      <c r="G1070" s="9">
        <f t="shared" si="196"/>
        <v>144743.01999999999</v>
      </c>
      <c r="H1070" s="9">
        <f t="shared" si="196"/>
        <v>149270.25</v>
      </c>
      <c r="I1070" s="9">
        <f t="shared" si="196"/>
        <v>149001.60000000001</v>
      </c>
      <c r="J1070" s="9">
        <f t="shared" si="196"/>
        <v>143933.89000000001</v>
      </c>
      <c r="K1070" s="9">
        <f t="shared" si="196"/>
        <v>148431.26999999999</v>
      </c>
      <c r="L1070" s="9">
        <f t="shared" si="196"/>
        <v>150059.75999999998</v>
      </c>
      <c r="M1070" s="9">
        <f t="shared" si="196"/>
        <v>147858.99</v>
      </c>
      <c r="N1070" s="9">
        <f t="shared" si="196"/>
        <v>1770735.7799999998</v>
      </c>
    </row>
    <row r="1071" spans="1:14" ht="4.95" customHeight="1" x14ac:dyDescent="0.2"/>
    <row r="1072" spans="1:14" x14ac:dyDescent="0.2">
      <c r="A1072" s="16" t="s">
        <v>57</v>
      </c>
    </row>
    <row r="1074" spans="1:14" x14ac:dyDescent="0.2">
      <c r="A1074" s="16" t="s">
        <v>645</v>
      </c>
    </row>
    <row r="1075" spans="1:14" x14ac:dyDescent="0.2">
      <c r="A1075" s="17" t="s">
        <v>646</v>
      </c>
      <c r="B1075" s="10">
        <v>0</v>
      </c>
      <c r="C1075" s="10">
        <v>0</v>
      </c>
      <c r="D1075" s="10">
        <v>0</v>
      </c>
      <c r="E1075" s="10">
        <v>0</v>
      </c>
      <c r="F1075" s="10">
        <v>0</v>
      </c>
      <c r="G1075" s="10">
        <v>0</v>
      </c>
      <c r="H1075" s="10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1409559.51</v>
      </c>
      <c r="N1075" s="10">
        <f>B1075+C1075+D1075+E1075+F1075+G1075+H1075+I1075+J1075+K1075+L1075+M1075</f>
        <v>1409559.51</v>
      </c>
    </row>
    <row r="1076" spans="1:14" x14ac:dyDescent="0.2">
      <c r="A1076" s="17" t="s">
        <v>647</v>
      </c>
      <c r="B1076" s="10">
        <v>0</v>
      </c>
      <c r="C1076" s="10">
        <v>0</v>
      </c>
      <c r="D1076" s="10">
        <v>0</v>
      </c>
      <c r="E1076" s="10">
        <v>0</v>
      </c>
      <c r="F1076" s="10">
        <v>0</v>
      </c>
      <c r="G1076" s="10">
        <v>0</v>
      </c>
      <c r="H1076" s="10">
        <v>0</v>
      </c>
      <c r="I1076" s="10">
        <v>0</v>
      </c>
      <c r="J1076" s="10">
        <v>0</v>
      </c>
      <c r="K1076" s="10">
        <v>0</v>
      </c>
      <c r="L1076" s="10">
        <v>0</v>
      </c>
      <c r="M1076" s="10">
        <v>24471.17</v>
      </c>
      <c r="N1076" s="10">
        <f>B1076+C1076+D1076+E1076+F1076+G1076+H1076+I1076+J1076+K1076+L1076+M1076</f>
        <v>24471.17</v>
      </c>
    </row>
    <row r="1077" spans="1:14" ht="4.95" customHeight="1" x14ac:dyDescent="0.2"/>
    <row r="1078" spans="1:14" ht="4.95" customHeight="1" x14ac:dyDescent="0.2">
      <c r="A1078" s="11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</row>
    <row r="1079" spans="1:14" ht="4.95" customHeight="1" x14ac:dyDescent="0.2"/>
    <row r="1080" spans="1:14" x14ac:dyDescent="0.2">
      <c r="A1080" s="16" t="s">
        <v>648</v>
      </c>
      <c r="B1080" s="9">
        <f t="shared" ref="B1080:N1080" si="197">SUM(B1075:B1076)</f>
        <v>0</v>
      </c>
      <c r="C1080" s="9">
        <f t="shared" si="197"/>
        <v>0</v>
      </c>
      <c r="D1080" s="9">
        <f t="shared" si="197"/>
        <v>0</v>
      </c>
      <c r="E1080" s="9">
        <f t="shared" si="197"/>
        <v>0</v>
      </c>
      <c r="F1080" s="9">
        <f t="shared" si="197"/>
        <v>0</v>
      </c>
      <c r="G1080" s="9">
        <f t="shared" si="197"/>
        <v>0</v>
      </c>
      <c r="H1080" s="9">
        <f t="shared" si="197"/>
        <v>0</v>
      </c>
      <c r="I1080" s="9">
        <f t="shared" si="197"/>
        <v>0</v>
      </c>
      <c r="J1080" s="9">
        <f t="shared" si="197"/>
        <v>0</v>
      </c>
      <c r="K1080" s="9">
        <f t="shared" si="197"/>
        <v>0</v>
      </c>
      <c r="L1080" s="9">
        <f t="shared" si="197"/>
        <v>0</v>
      </c>
      <c r="M1080" s="9">
        <f t="shared" si="197"/>
        <v>1434030.68</v>
      </c>
      <c r="N1080" s="9">
        <f t="shared" si="197"/>
        <v>1434030.68</v>
      </c>
    </row>
    <row r="1081" spans="1:14" ht="4.95" customHeight="1" x14ac:dyDescent="0.2"/>
    <row r="1082" spans="1:14" x14ac:dyDescent="0.2">
      <c r="A1082" s="16" t="s">
        <v>649</v>
      </c>
      <c r="B1082" s="9">
        <f t="shared" ref="B1082:N1082" si="198">B1080</f>
        <v>0</v>
      </c>
      <c r="C1082" s="9">
        <f t="shared" si="198"/>
        <v>0</v>
      </c>
      <c r="D1082" s="9">
        <f t="shared" si="198"/>
        <v>0</v>
      </c>
      <c r="E1082" s="9">
        <f t="shared" si="198"/>
        <v>0</v>
      </c>
      <c r="F1082" s="9">
        <f t="shared" si="198"/>
        <v>0</v>
      </c>
      <c r="G1082" s="9">
        <f t="shared" si="198"/>
        <v>0</v>
      </c>
      <c r="H1082" s="9">
        <f t="shared" si="198"/>
        <v>0</v>
      </c>
      <c r="I1082" s="9">
        <f t="shared" si="198"/>
        <v>0</v>
      </c>
      <c r="J1082" s="9">
        <f t="shared" si="198"/>
        <v>0</v>
      </c>
      <c r="K1082" s="9">
        <f t="shared" si="198"/>
        <v>0</v>
      </c>
      <c r="L1082" s="9">
        <f t="shared" si="198"/>
        <v>0</v>
      </c>
      <c r="M1082" s="9">
        <f t="shared" si="198"/>
        <v>1434030.68</v>
      </c>
      <c r="N1082" s="9">
        <f t="shared" si="198"/>
        <v>1434030.68</v>
      </c>
    </row>
    <row r="1083" spans="1:14" ht="4.95" customHeight="1" x14ac:dyDescent="0.2"/>
    <row r="1084" spans="1:14" x14ac:dyDescent="0.2">
      <c r="A1084" s="16" t="s">
        <v>58</v>
      </c>
      <c r="B1084" s="9">
        <f t="shared" ref="B1084:N1084" si="199">B985-(B997+B1009+B1021+B1036+B1047+B1070+B1082)+(B1057)</f>
        <v>176331.7200000002</v>
      </c>
      <c r="C1084" s="9">
        <f t="shared" si="199"/>
        <v>382398.79999999976</v>
      </c>
      <c r="D1084" s="9">
        <f t="shared" si="199"/>
        <v>434312.09000000014</v>
      </c>
      <c r="E1084" s="9">
        <f t="shared" si="199"/>
        <v>313848.83000000013</v>
      </c>
      <c r="F1084" s="9">
        <f t="shared" si="199"/>
        <v>406530.42999999993</v>
      </c>
      <c r="G1084" s="9">
        <f t="shared" si="199"/>
        <v>109866.55000000003</v>
      </c>
      <c r="H1084" s="9">
        <f t="shared" si="199"/>
        <v>453154.08999999985</v>
      </c>
      <c r="I1084" s="9">
        <f t="shared" si="199"/>
        <v>138303.36999999982</v>
      </c>
      <c r="J1084" s="9">
        <f t="shared" si="199"/>
        <v>153597.03999999983</v>
      </c>
      <c r="K1084" s="9">
        <f t="shared" si="199"/>
        <v>220760.57999999996</v>
      </c>
      <c r="L1084" s="9">
        <f t="shared" si="199"/>
        <v>341073.31999999972</v>
      </c>
      <c r="M1084" s="9">
        <f t="shared" si="199"/>
        <v>-1270886.9300000002</v>
      </c>
      <c r="N1084" s="9">
        <f t="shared" si="199"/>
        <v>1859289.8899999978</v>
      </c>
    </row>
    <row r="1085" spans="1:14" ht="4.95" customHeight="1" x14ac:dyDescent="0.2"/>
    <row r="1086" spans="1:14" ht="4.95" customHeight="1" x14ac:dyDescent="0.2"/>
  </sheetData>
  <mergeCells count="18">
    <mergeCell ref="L6"/>
    <mergeCell ref="M6"/>
    <mergeCell ref="N6"/>
    <mergeCell ref="A1:N1"/>
    <mergeCell ref="A2:N2"/>
    <mergeCell ref="A3:N3"/>
    <mergeCell ref="A4:N4"/>
    <mergeCell ref="A5:N5"/>
    <mergeCell ref="G6"/>
    <mergeCell ref="H6"/>
    <mergeCell ref="I6"/>
    <mergeCell ref="J6"/>
    <mergeCell ref="K6"/>
    <mergeCell ref="B6"/>
    <mergeCell ref="C6"/>
    <mergeCell ref="D6"/>
    <mergeCell ref="E6"/>
    <mergeCell ref="F6"/>
  </mergeCells>
  <printOptions horizontalCentered="1"/>
  <pageMargins left="0.25" right="0.25" top="0.25" bottom="0.42" header="0.3" footer="0.3"/>
  <pageSetup fitToHeight="0" orientation="landscape" horizontalDpi="0" verticalDpi="0"/>
  <headerFooter scaleWithDoc="0">
    <oddHeader>&amp;L&amp;"Aptos"&amp;11&amp;K008000 Information Classification - General&amp;1#_x000D_</oddHeader>
    <oddFooter>&amp;L&amp;6 05/12/2026 06:24:01 AM</oddFooter>
  </headerFooter>
</worksheet>
</file>

<file path=docMetadata/LabelInfo.xml><?xml version="1.0" encoding="utf-8"?>
<clbl:labelList xmlns:clbl="http://schemas.microsoft.com/office/2020/mipLabelMetadata">
  <clbl:label id="{2034ba00-d6fe-4eb5-af2c-5456f4ab6395}" enabled="1" method="Privileged" siteId="{686658ba-ae75-45fa-8ba9-7cefe64e294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Combined</vt:lpstr>
      <vt:lpstr>Combined!Print_Titles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 Babu</cp:lastModifiedBy>
  <dcterms:modified xsi:type="dcterms:W3CDTF">2026-05-12T10:31:41Z</dcterms:modified>
</cp:coreProperties>
</file>