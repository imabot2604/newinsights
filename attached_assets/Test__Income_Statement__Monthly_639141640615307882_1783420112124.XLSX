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Babu\Downloads\"/>
    </mc:Choice>
  </mc:AlternateContent>
  <xr:revisionPtr revIDLastSave="0" documentId="13_ncr:1_{8F573EA8-E57D-4C8E-9C2C-868AAE2FF7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d" sheetId="1" r:id="rId1"/>
  </sheets>
  <definedNames>
    <definedName name="_xlnm.Print_Titles" localSheetId="0">Combined!$1:$7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02" i="1" l="1"/>
  <c r="M1102" i="1"/>
  <c r="I1102" i="1"/>
  <c r="F1102" i="1"/>
  <c r="E1102" i="1"/>
  <c r="E82" i="1" s="1"/>
  <c r="M1100" i="1"/>
  <c r="L1100" i="1"/>
  <c r="L1102" i="1" s="1"/>
  <c r="K1100" i="1"/>
  <c r="K1102" i="1" s="1"/>
  <c r="J1100" i="1"/>
  <c r="J1102" i="1" s="1"/>
  <c r="I1100" i="1"/>
  <c r="H1100" i="1"/>
  <c r="H1102" i="1" s="1"/>
  <c r="G1100" i="1"/>
  <c r="G1102" i="1" s="1"/>
  <c r="F1100" i="1"/>
  <c r="E1100" i="1"/>
  <c r="D1100" i="1"/>
  <c r="D1102" i="1" s="1"/>
  <c r="C1100" i="1"/>
  <c r="C1102" i="1" s="1"/>
  <c r="B1100" i="1"/>
  <c r="B1102" i="1" s="1"/>
  <c r="N1096" i="1"/>
  <c r="N1095" i="1"/>
  <c r="N1100" i="1" s="1"/>
  <c r="M1090" i="1"/>
  <c r="J1090" i="1"/>
  <c r="I1090" i="1"/>
  <c r="E1090" i="1"/>
  <c r="B1090" i="1"/>
  <c r="N1088" i="1"/>
  <c r="N1090" i="1" s="1"/>
  <c r="M1088" i="1"/>
  <c r="L1088" i="1"/>
  <c r="L1090" i="1" s="1"/>
  <c r="K1088" i="1"/>
  <c r="K1090" i="1" s="1"/>
  <c r="J1088" i="1"/>
  <c r="I1088" i="1"/>
  <c r="H1088" i="1"/>
  <c r="H1090" i="1" s="1"/>
  <c r="G1088" i="1"/>
  <c r="G1090" i="1" s="1"/>
  <c r="F1088" i="1"/>
  <c r="F1090" i="1" s="1"/>
  <c r="E1088" i="1"/>
  <c r="D1088" i="1"/>
  <c r="D1090" i="1" s="1"/>
  <c r="C1088" i="1"/>
  <c r="C1090" i="1" s="1"/>
  <c r="B1088" i="1"/>
  <c r="N1084" i="1"/>
  <c r="N1083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N1073" i="1"/>
  <c r="N1072" i="1"/>
  <c r="N1071" i="1"/>
  <c r="N1070" i="1"/>
  <c r="N1077" i="1" s="1"/>
  <c r="N72" i="1" s="1"/>
  <c r="N1065" i="1"/>
  <c r="J1065" i="1"/>
  <c r="G1065" i="1"/>
  <c r="F1065" i="1"/>
  <c r="B1065" i="1"/>
  <c r="M1063" i="1"/>
  <c r="M1065" i="1" s="1"/>
  <c r="L1063" i="1"/>
  <c r="L1065" i="1" s="1"/>
  <c r="K1063" i="1"/>
  <c r="K1065" i="1" s="1"/>
  <c r="J1063" i="1"/>
  <c r="I1063" i="1"/>
  <c r="I1065" i="1" s="1"/>
  <c r="H1063" i="1"/>
  <c r="H1065" i="1" s="1"/>
  <c r="G1063" i="1"/>
  <c r="F1063" i="1"/>
  <c r="E1063" i="1"/>
  <c r="E1065" i="1" s="1"/>
  <c r="D1063" i="1"/>
  <c r="D1065" i="1" s="1"/>
  <c r="C1063" i="1"/>
  <c r="C1065" i="1" s="1"/>
  <c r="B1063" i="1"/>
  <c r="N1059" i="1"/>
  <c r="N1063" i="1" s="1"/>
  <c r="M1054" i="1"/>
  <c r="J1054" i="1"/>
  <c r="I1054" i="1"/>
  <c r="I66" i="1" s="1"/>
  <c r="E1054" i="1"/>
  <c r="B1054" i="1"/>
  <c r="M1052" i="1"/>
  <c r="L1052" i="1"/>
  <c r="L1054" i="1" s="1"/>
  <c r="K1052" i="1"/>
  <c r="K1054" i="1" s="1"/>
  <c r="J1052" i="1"/>
  <c r="I1052" i="1"/>
  <c r="H1052" i="1"/>
  <c r="H1054" i="1" s="1"/>
  <c r="G1052" i="1"/>
  <c r="G1054" i="1" s="1"/>
  <c r="F1052" i="1"/>
  <c r="F1054" i="1" s="1"/>
  <c r="E1052" i="1"/>
  <c r="D1052" i="1"/>
  <c r="D1054" i="1" s="1"/>
  <c r="C1052" i="1"/>
  <c r="C1054" i="1" s="1"/>
  <c r="B1052" i="1"/>
  <c r="N1048" i="1"/>
  <c r="N1047" i="1"/>
  <c r="N1046" i="1"/>
  <c r="N1045" i="1"/>
  <c r="N1052" i="1" s="1"/>
  <c r="N1054" i="1" s="1"/>
  <c r="N66" i="1" s="1"/>
  <c r="N1044" i="1"/>
  <c r="L1039" i="1"/>
  <c r="I1039" i="1"/>
  <c r="H1039" i="1"/>
  <c r="D1039" i="1"/>
  <c r="N1037" i="1"/>
  <c r="N1039" i="1" s="1"/>
  <c r="M1037" i="1"/>
  <c r="M1039" i="1" s="1"/>
  <c r="L1037" i="1"/>
  <c r="K1037" i="1"/>
  <c r="K1039" i="1" s="1"/>
  <c r="J1037" i="1"/>
  <c r="J1039" i="1" s="1"/>
  <c r="I1037" i="1"/>
  <c r="H1037" i="1"/>
  <c r="G1037" i="1"/>
  <c r="G1039" i="1" s="1"/>
  <c r="G65" i="1" s="1"/>
  <c r="G70" i="1" s="1"/>
  <c r="F1037" i="1"/>
  <c r="F1039" i="1" s="1"/>
  <c r="E1037" i="1"/>
  <c r="E1039" i="1" s="1"/>
  <c r="D1037" i="1"/>
  <c r="C1037" i="1"/>
  <c r="C1039" i="1" s="1"/>
  <c r="B1037" i="1"/>
  <c r="B1039" i="1" s="1"/>
  <c r="N1033" i="1"/>
  <c r="N1032" i="1"/>
  <c r="N1031" i="1"/>
  <c r="M1026" i="1"/>
  <c r="I1026" i="1"/>
  <c r="F1026" i="1"/>
  <c r="E1026" i="1"/>
  <c r="M1024" i="1"/>
  <c r="L1024" i="1"/>
  <c r="L1026" i="1" s="1"/>
  <c r="K1024" i="1"/>
  <c r="K1026" i="1" s="1"/>
  <c r="K58" i="1" s="1"/>
  <c r="J1024" i="1"/>
  <c r="J1026" i="1" s="1"/>
  <c r="I1024" i="1"/>
  <c r="H1024" i="1"/>
  <c r="H1026" i="1" s="1"/>
  <c r="G1024" i="1"/>
  <c r="G1026" i="1" s="1"/>
  <c r="F1024" i="1"/>
  <c r="E1024" i="1"/>
  <c r="D1024" i="1"/>
  <c r="D1026" i="1" s="1"/>
  <c r="C1024" i="1"/>
  <c r="C1026" i="1" s="1"/>
  <c r="C58" i="1" s="1"/>
  <c r="B1024" i="1"/>
  <c r="B1026" i="1" s="1"/>
  <c r="N1020" i="1"/>
  <c r="N1019" i="1"/>
  <c r="N1024" i="1" s="1"/>
  <c r="N1026" i="1" s="1"/>
  <c r="N58" i="1" s="1"/>
  <c r="M1014" i="1"/>
  <c r="J1014" i="1"/>
  <c r="I1014" i="1"/>
  <c r="E1014" i="1"/>
  <c r="B1014" i="1"/>
  <c r="B57" i="1" s="1"/>
  <c r="B60" i="1" s="1"/>
  <c r="N1012" i="1"/>
  <c r="N1014" i="1" s="1"/>
  <c r="M1012" i="1"/>
  <c r="L1012" i="1"/>
  <c r="L1014" i="1" s="1"/>
  <c r="K1012" i="1"/>
  <c r="K1014" i="1" s="1"/>
  <c r="J1012" i="1"/>
  <c r="I1012" i="1"/>
  <c r="H1012" i="1"/>
  <c r="H1014" i="1" s="1"/>
  <c r="G1012" i="1"/>
  <c r="G1014" i="1" s="1"/>
  <c r="G57" i="1" s="1"/>
  <c r="F1012" i="1"/>
  <c r="F1014" i="1" s="1"/>
  <c r="E1012" i="1"/>
  <c r="D1012" i="1"/>
  <c r="D1014" i="1" s="1"/>
  <c r="C1012" i="1"/>
  <c r="C1014" i="1" s="1"/>
  <c r="B1012" i="1"/>
  <c r="N1008" i="1"/>
  <c r="N1007" i="1"/>
  <c r="K994" i="1"/>
  <c r="H994" i="1"/>
  <c r="G994" i="1"/>
  <c r="C994" i="1"/>
  <c r="M992" i="1"/>
  <c r="M994" i="1" s="1"/>
  <c r="L992" i="1"/>
  <c r="L994" i="1" s="1"/>
  <c r="K992" i="1"/>
  <c r="J992" i="1"/>
  <c r="J994" i="1" s="1"/>
  <c r="I992" i="1"/>
  <c r="I994" i="1" s="1"/>
  <c r="I47" i="1" s="1"/>
  <c r="H992" i="1"/>
  <c r="G992" i="1"/>
  <c r="F992" i="1"/>
  <c r="F994" i="1" s="1"/>
  <c r="E992" i="1"/>
  <c r="E994" i="1" s="1"/>
  <c r="D992" i="1"/>
  <c r="D994" i="1" s="1"/>
  <c r="C992" i="1"/>
  <c r="B992" i="1"/>
  <c r="B994" i="1" s="1"/>
  <c r="N988" i="1"/>
  <c r="N987" i="1"/>
  <c r="N986" i="1"/>
  <c r="N985" i="1"/>
  <c r="N984" i="1"/>
  <c r="N992" i="1" s="1"/>
  <c r="N994" i="1" s="1"/>
  <c r="L977" i="1"/>
  <c r="L979" i="1" s="1"/>
  <c r="L46" i="1" s="1"/>
  <c r="M973" i="1"/>
  <c r="L973" i="1"/>
  <c r="K973" i="1"/>
  <c r="J973" i="1"/>
  <c r="I973" i="1"/>
  <c r="H973" i="1"/>
  <c r="G973" i="1"/>
  <c r="F973" i="1"/>
  <c r="E973" i="1"/>
  <c r="D973" i="1"/>
  <c r="C973" i="1"/>
  <c r="B973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H941" i="1"/>
  <c r="H977" i="1" s="1"/>
  <c r="H979" i="1" s="1"/>
  <c r="M938" i="1"/>
  <c r="L938" i="1"/>
  <c r="K938" i="1"/>
  <c r="J938" i="1"/>
  <c r="I938" i="1"/>
  <c r="H938" i="1"/>
  <c r="G938" i="1"/>
  <c r="F938" i="1"/>
  <c r="E938" i="1"/>
  <c r="D938" i="1"/>
  <c r="C938" i="1"/>
  <c r="B938" i="1"/>
  <c r="N937" i="1"/>
  <c r="N936" i="1"/>
  <c r="N935" i="1"/>
  <c r="N934" i="1"/>
  <c r="N933" i="1"/>
  <c r="N938" i="1" s="1"/>
  <c r="N932" i="1"/>
  <c r="N931" i="1"/>
  <c r="J928" i="1"/>
  <c r="J941" i="1" s="1"/>
  <c r="J977" i="1" s="1"/>
  <c r="J979" i="1" s="1"/>
  <c r="I928" i="1"/>
  <c r="I941" i="1" s="1"/>
  <c r="I977" i="1" s="1"/>
  <c r="I979" i="1" s="1"/>
  <c r="I46" i="1" s="1"/>
  <c r="B928" i="1"/>
  <c r="B941" i="1" s="1"/>
  <c r="B977" i="1" s="1"/>
  <c r="B979" i="1" s="1"/>
  <c r="N927" i="1"/>
  <c r="M927" i="1"/>
  <c r="L927" i="1"/>
  <c r="K927" i="1"/>
  <c r="J927" i="1"/>
  <c r="I927" i="1"/>
  <c r="H927" i="1"/>
  <c r="G927" i="1"/>
  <c r="G928" i="1" s="1"/>
  <c r="G941" i="1" s="1"/>
  <c r="G977" i="1" s="1"/>
  <c r="G979" i="1" s="1"/>
  <c r="G46" i="1" s="1"/>
  <c r="F927" i="1"/>
  <c r="E927" i="1"/>
  <c r="D927" i="1"/>
  <c r="C927" i="1"/>
  <c r="B927" i="1"/>
  <c r="N926" i="1"/>
  <c r="M923" i="1"/>
  <c r="M928" i="1" s="1"/>
  <c r="M941" i="1" s="1"/>
  <c r="M977" i="1" s="1"/>
  <c r="M979" i="1" s="1"/>
  <c r="L923" i="1"/>
  <c r="L928" i="1" s="1"/>
  <c r="L941" i="1" s="1"/>
  <c r="K923" i="1"/>
  <c r="K928" i="1" s="1"/>
  <c r="K941" i="1" s="1"/>
  <c r="K977" i="1" s="1"/>
  <c r="K979" i="1" s="1"/>
  <c r="K46" i="1" s="1"/>
  <c r="J923" i="1"/>
  <c r="I923" i="1"/>
  <c r="H923" i="1"/>
  <c r="H928" i="1" s="1"/>
  <c r="G923" i="1"/>
  <c r="F923" i="1"/>
  <c r="E923" i="1"/>
  <c r="E928" i="1" s="1"/>
  <c r="E941" i="1" s="1"/>
  <c r="E977" i="1" s="1"/>
  <c r="E979" i="1" s="1"/>
  <c r="D923" i="1"/>
  <c r="D928" i="1" s="1"/>
  <c r="D941" i="1" s="1"/>
  <c r="D977" i="1" s="1"/>
  <c r="D979" i="1" s="1"/>
  <c r="D46" i="1" s="1"/>
  <c r="C923" i="1"/>
  <c r="C928" i="1" s="1"/>
  <c r="C941" i="1" s="1"/>
  <c r="C977" i="1" s="1"/>
  <c r="C979" i="1" s="1"/>
  <c r="C46" i="1" s="1"/>
  <c r="B923" i="1"/>
  <c r="N922" i="1"/>
  <c r="N923" i="1" s="1"/>
  <c r="K913" i="1"/>
  <c r="J913" i="1"/>
  <c r="J45" i="1" s="1"/>
  <c r="F913" i="1"/>
  <c r="C913" i="1"/>
  <c r="B913" i="1"/>
  <c r="M911" i="1"/>
  <c r="M913" i="1" s="1"/>
  <c r="L911" i="1"/>
  <c r="L913" i="1" s="1"/>
  <c r="K911" i="1"/>
  <c r="J911" i="1"/>
  <c r="I911" i="1"/>
  <c r="I913" i="1" s="1"/>
  <c r="I45" i="1" s="1"/>
  <c r="H911" i="1"/>
  <c r="H913" i="1" s="1"/>
  <c r="G911" i="1"/>
  <c r="G913" i="1" s="1"/>
  <c r="F911" i="1"/>
  <c r="E911" i="1"/>
  <c r="E913" i="1" s="1"/>
  <c r="D911" i="1"/>
  <c r="D913" i="1" s="1"/>
  <c r="C911" i="1"/>
  <c r="B911" i="1"/>
  <c r="N907" i="1"/>
  <c r="N906" i="1"/>
  <c r="N905" i="1"/>
  <c r="N904" i="1"/>
  <c r="N911" i="1" s="1"/>
  <c r="N913" i="1" s="1"/>
  <c r="F897" i="1"/>
  <c r="F899" i="1" s="1"/>
  <c r="F44" i="1" s="1"/>
  <c r="M893" i="1"/>
  <c r="L893" i="1"/>
  <c r="K893" i="1"/>
  <c r="J893" i="1"/>
  <c r="I893" i="1"/>
  <c r="H893" i="1"/>
  <c r="G893" i="1"/>
  <c r="F893" i="1"/>
  <c r="E893" i="1"/>
  <c r="D893" i="1"/>
  <c r="C893" i="1"/>
  <c r="B893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N872" i="1"/>
  <c r="N871" i="1"/>
  <c r="N870" i="1"/>
  <c r="N869" i="1"/>
  <c r="N868" i="1"/>
  <c r="N867" i="1"/>
  <c r="N866" i="1"/>
  <c r="N873" i="1" s="1"/>
  <c r="M863" i="1"/>
  <c r="M876" i="1" s="1"/>
  <c r="M897" i="1" s="1"/>
  <c r="M899" i="1" s="1"/>
  <c r="M44" i="1" s="1"/>
  <c r="L863" i="1"/>
  <c r="L876" i="1" s="1"/>
  <c r="L897" i="1" s="1"/>
  <c r="L899" i="1" s="1"/>
  <c r="E863" i="1"/>
  <c r="E876" i="1" s="1"/>
  <c r="E897" i="1" s="1"/>
  <c r="E899" i="1" s="1"/>
  <c r="E44" i="1" s="1"/>
  <c r="D863" i="1"/>
  <c r="D876" i="1" s="1"/>
  <c r="D897" i="1" s="1"/>
  <c r="D899" i="1" s="1"/>
  <c r="M862" i="1"/>
  <c r="L862" i="1"/>
  <c r="K862" i="1"/>
  <c r="J862" i="1"/>
  <c r="I862" i="1"/>
  <c r="H862" i="1"/>
  <c r="G862" i="1"/>
  <c r="F862" i="1"/>
  <c r="E862" i="1"/>
  <c r="D862" i="1"/>
  <c r="C862" i="1"/>
  <c r="B862" i="1"/>
  <c r="N861" i="1"/>
  <c r="N862" i="1" s="1"/>
  <c r="M858" i="1"/>
  <c r="L858" i="1"/>
  <c r="K858" i="1"/>
  <c r="K863" i="1" s="1"/>
  <c r="K876" i="1" s="1"/>
  <c r="K897" i="1" s="1"/>
  <c r="K899" i="1" s="1"/>
  <c r="K44" i="1" s="1"/>
  <c r="J858" i="1"/>
  <c r="I858" i="1"/>
  <c r="H858" i="1"/>
  <c r="H863" i="1" s="1"/>
  <c r="G858" i="1"/>
  <c r="G863" i="1" s="1"/>
  <c r="G876" i="1" s="1"/>
  <c r="G897" i="1" s="1"/>
  <c r="G899" i="1" s="1"/>
  <c r="G44" i="1" s="1"/>
  <c r="F858" i="1"/>
  <c r="F863" i="1" s="1"/>
  <c r="F876" i="1" s="1"/>
  <c r="E858" i="1"/>
  <c r="D858" i="1"/>
  <c r="C858" i="1"/>
  <c r="C863" i="1" s="1"/>
  <c r="C876" i="1" s="1"/>
  <c r="C897" i="1" s="1"/>
  <c r="C899" i="1" s="1"/>
  <c r="C44" i="1" s="1"/>
  <c r="B858" i="1"/>
  <c r="N857" i="1"/>
  <c r="N858" i="1" s="1"/>
  <c r="M848" i="1"/>
  <c r="M43" i="1" s="1"/>
  <c r="M846" i="1"/>
  <c r="L846" i="1"/>
  <c r="K846" i="1"/>
  <c r="J846" i="1"/>
  <c r="I846" i="1"/>
  <c r="H846" i="1"/>
  <c r="G846" i="1"/>
  <c r="F846" i="1"/>
  <c r="E846" i="1"/>
  <c r="D846" i="1"/>
  <c r="C846" i="1"/>
  <c r="B846" i="1"/>
  <c r="N842" i="1"/>
  <c r="N841" i="1"/>
  <c r="N840" i="1"/>
  <c r="N846" i="1" s="1"/>
  <c r="J837" i="1"/>
  <c r="J848" i="1" s="1"/>
  <c r="M833" i="1"/>
  <c r="L833" i="1"/>
  <c r="K833" i="1"/>
  <c r="J833" i="1"/>
  <c r="I833" i="1"/>
  <c r="H833" i="1"/>
  <c r="G833" i="1"/>
  <c r="F833" i="1"/>
  <c r="E833" i="1"/>
  <c r="D833" i="1"/>
  <c r="C833" i="1"/>
  <c r="B833" i="1"/>
  <c r="N830" i="1"/>
  <c r="N833" i="1" s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N824" i="1"/>
  <c r="L821" i="1"/>
  <c r="L837" i="1" s="1"/>
  <c r="L848" i="1" s="1"/>
  <c r="K821" i="1"/>
  <c r="K837" i="1" s="1"/>
  <c r="K848" i="1" s="1"/>
  <c r="D821" i="1"/>
  <c r="D837" i="1" s="1"/>
  <c r="D848" i="1" s="1"/>
  <c r="C821" i="1"/>
  <c r="C837" i="1" s="1"/>
  <c r="C848" i="1" s="1"/>
  <c r="M818" i="1"/>
  <c r="L818" i="1"/>
  <c r="K818" i="1"/>
  <c r="J818" i="1"/>
  <c r="I818" i="1"/>
  <c r="H818" i="1"/>
  <c r="G818" i="1"/>
  <c r="F818" i="1"/>
  <c r="E818" i="1"/>
  <c r="D818" i="1"/>
  <c r="C818" i="1"/>
  <c r="B818" i="1"/>
  <c r="N817" i="1"/>
  <c r="N816" i="1"/>
  <c r="N815" i="1"/>
  <c r="N818" i="1" s="1"/>
  <c r="M812" i="1"/>
  <c r="M821" i="1" s="1"/>
  <c r="M837" i="1" s="1"/>
  <c r="L812" i="1"/>
  <c r="K812" i="1"/>
  <c r="J812" i="1"/>
  <c r="J821" i="1" s="1"/>
  <c r="I812" i="1"/>
  <c r="I821" i="1" s="1"/>
  <c r="I837" i="1" s="1"/>
  <c r="I848" i="1" s="1"/>
  <c r="H812" i="1"/>
  <c r="H821" i="1" s="1"/>
  <c r="H837" i="1" s="1"/>
  <c r="H848" i="1" s="1"/>
  <c r="G812" i="1"/>
  <c r="G821" i="1" s="1"/>
  <c r="G837" i="1" s="1"/>
  <c r="G848" i="1" s="1"/>
  <c r="F812" i="1"/>
  <c r="F821" i="1" s="1"/>
  <c r="F837" i="1" s="1"/>
  <c r="F848" i="1" s="1"/>
  <c r="F43" i="1" s="1"/>
  <c r="E812" i="1"/>
  <c r="E821" i="1" s="1"/>
  <c r="E837" i="1" s="1"/>
  <c r="E848" i="1" s="1"/>
  <c r="D812" i="1"/>
  <c r="C812" i="1"/>
  <c r="B812" i="1"/>
  <c r="B821" i="1" s="1"/>
  <c r="B837" i="1" s="1"/>
  <c r="B848" i="1" s="1"/>
  <c r="N811" i="1"/>
  <c r="N810" i="1"/>
  <c r="M800" i="1"/>
  <c r="M802" i="1" s="1"/>
  <c r="M796" i="1"/>
  <c r="L796" i="1"/>
  <c r="K796" i="1"/>
  <c r="J796" i="1"/>
  <c r="I796" i="1"/>
  <c r="H796" i="1"/>
  <c r="G796" i="1"/>
  <c r="F796" i="1"/>
  <c r="E796" i="1"/>
  <c r="D796" i="1"/>
  <c r="C796" i="1"/>
  <c r="B796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N770" i="1"/>
  <c r="N769" i="1"/>
  <c r="N768" i="1"/>
  <c r="N767" i="1"/>
  <c r="N766" i="1"/>
  <c r="N765" i="1"/>
  <c r="N764" i="1"/>
  <c r="I761" i="1"/>
  <c r="I774" i="1" s="1"/>
  <c r="I800" i="1" s="1"/>
  <c r="I802" i="1" s="1"/>
  <c r="H761" i="1"/>
  <c r="H774" i="1" s="1"/>
  <c r="H800" i="1" s="1"/>
  <c r="H802" i="1" s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N759" i="1"/>
  <c r="N758" i="1"/>
  <c r="N757" i="1"/>
  <c r="N754" i="1"/>
  <c r="N761" i="1" s="1"/>
  <c r="M754" i="1"/>
  <c r="M761" i="1" s="1"/>
  <c r="M774" i="1" s="1"/>
  <c r="L754" i="1"/>
  <c r="L761" i="1" s="1"/>
  <c r="K754" i="1"/>
  <c r="K761" i="1" s="1"/>
  <c r="K774" i="1" s="1"/>
  <c r="K800" i="1" s="1"/>
  <c r="K802" i="1" s="1"/>
  <c r="J754" i="1"/>
  <c r="J761" i="1" s="1"/>
  <c r="J774" i="1" s="1"/>
  <c r="J800" i="1" s="1"/>
  <c r="J802" i="1" s="1"/>
  <c r="I754" i="1"/>
  <c r="H754" i="1"/>
  <c r="G754" i="1"/>
  <c r="G761" i="1" s="1"/>
  <c r="G774" i="1" s="1"/>
  <c r="G800" i="1" s="1"/>
  <c r="G802" i="1" s="1"/>
  <c r="F754" i="1"/>
  <c r="F761" i="1" s="1"/>
  <c r="F774" i="1" s="1"/>
  <c r="F800" i="1" s="1"/>
  <c r="F802" i="1" s="1"/>
  <c r="E754" i="1"/>
  <c r="E761" i="1" s="1"/>
  <c r="E774" i="1" s="1"/>
  <c r="E800" i="1" s="1"/>
  <c r="E802" i="1" s="1"/>
  <c r="D754" i="1"/>
  <c r="D761" i="1" s="1"/>
  <c r="C754" i="1"/>
  <c r="C761" i="1" s="1"/>
  <c r="C774" i="1" s="1"/>
  <c r="C800" i="1" s="1"/>
  <c r="C802" i="1" s="1"/>
  <c r="B754" i="1"/>
  <c r="B761" i="1" s="1"/>
  <c r="B774" i="1" s="1"/>
  <c r="B800" i="1" s="1"/>
  <c r="B802" i="1" s="1"/>
  <c r="N753" i="1"/>
  <c r="N752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N734" i="1"/>
  <c r="N733" i="1"/>
  <c r="N732" i="1"/>
  <c r="N731" i="1"/>
  <c r="N730" i="1"/>
  <c r="N729" i="1"/>
  <c r="N728" i="1"/>
  <c r="N727" i="1"/>
  <c r="N726" i="1"/>
  <c r="N738" i="1" s="1"/>
  <c r="H720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N713" i="1"/>
  <c r="M713" i="1"/>
  <c r="M720" i="1" s="1"/>
  <c r="L713" i="1"/>
  <c r="L720" i="1" s="1"/>
  <c r="K713" i="1"/>
  <c r="K720" i="1" s="1"/>
  <c r="J713" i="1"/>
  <c r="J720" i="1" s="1"/>
  <c r="I713" i="1"/>
  <c r="I720" i="1" s="1"/>
  <c r="H713" i="1"/>
  <c r="G713" i="1"/>
  <c r="G720" i="1" s="1"/>
  <c r="F713" i="1"/>
  <c r="F720" i="1" s="1"/>
  <c r="E713" i="1"/>
  <c r="E720" i="1" s="1"/>
  <c r="D713" i="1"/>
  <c r="D720" i="1" s="1"/>
  <c r="C713" i="1"/>
  <c r="C720" i="1" s="1"/>
  <c r="B713" i="1"/>
  <c r="B720" i="1" s="1"/>
  <c r="M708" i="1"/>
  <c r="L708" i="1"/>
  <c r="K708" i="1"/>
  <c r="J708" i="1"/>
  <c r="I708" i="1"/>
  <c r="H708" i="1"/>
  <c r="G708" i="1"/>
  <c r="F708" i="1"/>
  <c r="E708" i="1"/>
  <c r="D708" i="1"/>
  <c r="C708" i="1"/>
  <c r="B708" i="1"/>
  <c r="N704" i="1"/>
  <c r="N703" i="1"/>
  <c r="N702" i="1"/>
  <c r="N708" i="1" s="1"/>
  <c r="M699" i="1"/>
  <c r="L699" i="1"/>
  <c r="K699" i="1"/>
  <c r="J699" i="1"/>
  <c r="I699" i="1"/>
  <c r="H699" i="1"/>
  <c r="G699" i="1"/>
  <c r="F699" i="1"/>
  <c r="E699" i="1"/>
  <c r="D699" i="1"/>
  <c r="C699" i="1"/>
  <c r="B699" i="1"/>
  <c r="N695" i="1"/>
  <c r="N717" i="1" s="1"/>
  <c r="N694" i="1"/>
  <c r="N715" i="1" s="1"/>
  <c r="N693" i="1"/>
  <c r="N699" i="1" s="1"/>
  <c r="K688" i="1"/>
  <c r="C688" i="1"/>
  <c r="I686" i="1"/>
  <c r="H686" i="1"/>
  <c r="M683" i="1"/>
  <c r="F683" i="1"/>
  <c r="E683" i="1"/>
  <c r="M681" i="1"/>
  <c r="M686" i="1" s="1"/>
  <c r="L681" i="1"/>
  <c r="L686" i="1" s="1"/>
  <c r="L688" i="1" s="1"/>
  <c r="K681" i="1"/>
  <c r="K686" i="1" s="1"/>
  <c r="J681" i="1"/>
  <c r="J686" i="1" s="1"/>
  <c r="I681" i="1"/>
  <c r="H681" i="1"/>
  <c r="G681" i="1"/>
  <c r="G686" i="1" s="1"/>
  <c r="F681" i="1"/>
  <c r="F686" i="1" s="1"/>
  <c r="E681" i="1"/>
  <c r="E686" i="1" s="1"/>
  <c r="D681" i="1"/>
  <c r="D686" i="1" s="1"/>
  <c r="D688" i="1" s="1"/>
  <c r="C681" i="1"/>
  <c r="C686" i="1" s="1"/>
  <c r="B681" i="1"/>
  <c r="B686" i="1" s="1"/>
  <c r="N677" i="1"/>
  <c r="N676" i="1"/>
  <c r="N681" i="1" s="1"/>
  <c r="N686" i="1" s="1"/>
  <c r="M673" i="1"/>
  <c r="L673" i="1"/>
  <c r="L683" i="1" s="1"/>
  <c r="K673" i="1"/>
  <c r="K683" i="1" s="1"/>
  <c r="J673" i="1"/>
  <c r="I673" i="1"/>
  <c r="H673" i="1"/>
  <c r="H688" i="1" s="1"/>
  <c r="G673" i="1"/>
  <c r="G688" i="1" s="1"/>
  <c r="F673" i="1"/>
  <c r="F688" i="1" s="1"/>
  <c r="E673" i="1"/>
  <c r="D673" i="1"/>
  <c r="D683" i="1" s="1"/>
  <c r="C673" i="1"/>
  <c r="C683" i="1" s="1"/>
  <c r="B673" i="1"/>
  <c r="N669" i="1"/>
  <c r="N673" i="1" s="1"/>
  <c r="N662" i="1"/>
  <c r="N661" i="1"/>
  <c r="N660" i="1"/>
  <c r="N659" i="1"/>
  <c r="N658" i="1"/>
  <c r="N657" i="1"/>
  <c r="K651" i="1"/>
  <c r="B651" i="1"/>
  <c r="H648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N644" i="1"/>
  <c r="N643" i="1"/>
  <c r="N642" i="1"/>
  <c r="N641" i="1"/>
  <c r="N640" i="1"/>
  <c r="N645" i="1" s="1"/>
  <c r="G637" i="1"/>
  <c r="G648" i="1" s="1"/>
  <c r="F637" i="1"/>
  <c r="F648" i="1" s="1"/>
  <c r="M636" i="1"/>
  <c r="M637" i="1" s="1"/>
  <c r="M648" i="1" s="1"/>
  <c r="L636" i="1"/>
  <c r="L637" i="1" s="1"/>
  <c r="L648" i="1" s="1"/>
  <c r="K636" i="1"/>
  <c r="K637" i="1" s="1"/>
  <c r="K648" i="1" s="1"/>
  <c r="J636" i="1"/>
  <c r="J637" i="1" s="1"/>
  <c r="J648" i="1" s="1"/>
  <c r="J651" i="1" s="1"/>
  <c r="I636" i="1"/>
  <c r="I637" i="1" s="1"/>
  <c r="I648" i="1" s="1"/>
  <c r="H636" i="1"/>
  <c r="H637" i="1" s="1"/>
  <c r="G636" i="1"/>
  <c r="F636" i="1"/>
  <c r="E636" i="1"/>
  <c r="E637" i="1" s="1"/>
  <c r="E648" i="1" s="1"/>
  <c r="D636" i="1"/>
  <c r="D637" i="1" s="1"/>
  <c r="D648" i="1" s="1"/>
  <c r="C636" i="1"/>
  <c r="C637" i="1" s="1"/>
  <c r="C648" i="1" s="1"/>
  <c r="C651" i="1" s="1"/>
  <c r="B636" i="1"/>
  <c r="B637" i="1" s="1"/>
  <c r="B648" i="1" s="1"/>
  <c r="N635" i="1"/>
  <c r="N636" i="1" s="1"/>
  <c r="N637" i="1" s="1"/>
  <c r="N648" i="1" s="1"/>
  <c r="N627" i="1"/>
  <c r="M627" i="1"/>
  <c r="M651" i="1" s="1"/>
  <c r="L627" i="1"/>
  <c r="L651" i="1" s="1"/>
  <c r="K627" i="1"/>
  <c r="J627" i="1"/>
  <c r="I627" i="1"/>
  <c r="H627" i="1"/>
  <c r="H651" i="1" s="1"/>
  <c r="G627" i="1"/>
  <c r="F627" i="1"/>
  <c r="F651" i="1" s="1"/>
  <c r="E627" i="1"/>
  <c r="E651" i="1" s="1"/>
  <c r="D627" i="1"/>
  <c r="C627" i="1"/>
  <c r="B627" i="1"/>
  <c r="N623" i="1"/>
  <c r="N622" i="1"/>
  <c r="M619" i="1"/>
  <c r="M629" i="1" s="1"/>
  <c r="F619" i="1"/>
  <c r="F629" i="1" s="1"/>
  <c r="E619" i="1"/>
  <c r="E629" i="1" s="1"/>
  <c r="M615" i="1"/>
  <c r="L615" i="1"/>
  <c r="K615" i="1"/>
  <c r="J615" i="1"/>
  <c r="I615" i="1"/>
  <c r="H615" i="1"/>
  <c r="G615" i="1"/>
  <c r="F615" i="1"/>
  <c r="E615" i="1"/>
  <c r="D615" i="1"/>
  <c r="C615" i="1"/>
  <c r="B615" i="1"/>
  <c r="N612" i="1"/>
  <c r="N615" i="1" s="1"/>
  <c r="M609" i="1"/>
  <c r="L609" i="1"/>
  <c r="K609" i="1"/>
  <c r="J609" i="1"/>
  <c r="I609" i="1"/>
  <c r="H609" i="1"/>
  <c r="G609" i="1"/>
  <c r="F609" i="1"/>
  <c r="E609" i="1"/>
  <c r="D609" i="1"/>
  <c r="C609" i="1"/>
  <c r="B609" i="1"/>
  <c r="N606" i="1"/>
  <c r="N605" i="1"/>
  <c r="N604" i="1"/>
  <c r="N609" i="1" s="1"/>
  <c r="M601" i="1"/>
  <c r="L601" i="1"/>
  <c r="L619" i="1" s="1"/>
  <c r="K601" i="1"/>
  <c r="K619" i="1" s="1"/>
  <c r="J601" i="1"/>
  <c r="I601" i="1"/>
  <c r="H601" i="1"/>
  <c r="H619" i="1" s="1"/>
  <c r="G601" i="1"/>
  <c r="G619" i="1" s="1"/>
  <c r="F601" i="1"/>
  <c r="E601" i="1"/>
  <c r="D601" i="1"/>
  <c r="D619" i="1" s="1"/>
  <c r="C601" i="1"/>
  <c r="C619" i="1" s="1"/>
  <c r="B601" i="1"/>
  <c r="N598" i="1"/>
  <c r="N597" i="1"/>
  <c r="N596" i="1"/>
  <c r="N588" i="1"/>
  <c r="N587" i="1"/>
  <c r="J583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N575" i="1"/>
  <c r="N574" i="1"/>
  <c r="N573" i="1"/>
  <c r="N572" i="1"/>
  <c r="N571" i="1"/>
  <c r="N570" i="1"/>
  <c r="N569" i="1"/>
  <c r="I566" i="1"/>
  <c r="H566" i="1"/>
  <c r="H581" i="1" s="1"/>
  <c r="M563" i="1"/>
  <c r="L563" i="1"/>
  <c r="K563" i="1"/>
  <c r="J563" i="1"/>
  <c r="I563" i="1"/>
  <c r="H563" i="1"/>
  <c r="G563" i="1"/>
  <c r="F563" i="1"/>
  <c r="E563" i="1"/>
  <c r="D563" i="1"/>
  <c r="C563" i="1"/>
  <c r="B563" i="1"/>
  <c r="N562" i="1"/>
  <c r="N561" i="1"/>
  <c r="N560" i="1"/>
  <c r="N559" i="1"/>
  <c r="N558" i="1"/>
  <c r="N563" i="1" s="1"/>
  <c r="N557" i="1"/>
  <c r="N556" i="1"/>
  <c r="J553" i="1"/>
  <c r="J566" i="1" s="1"/>
  <c r="I553" i="1"/>
  <c r="B553" i="1"/>
  <c r="B566" i="1" s="1"/>
  <c r="N552" i="1"/>
  <c r="N553" i="1" s="1"/>
  <c r="M552" i="1"/>
  <c r="M553" i="1" s="1"/>
  <c r="M566" i="1" s="1"/>
  <c r="L552" i="1"/>
  <c r="L553" i="1" s="1"/>
  <c r="L566" i="1" s="1"/>
  <c r="K552" i="1"/>
  <c r="K553" i="1" s="1"/>
  <c r="K566" i="1" s="1"/>
  <c r="J552" i="1"/>
  <c r="I552" i="1"/>
  <c r="H552" i="1"/>
  <c r="H553" i="1" s="1"/>
  <c r="G552" i="1"/>
  <c r="G553" i="1" s="1"/>
  <c r="G566" i="1" s="1"/>
  <c r="G581" i="1" s="1"/>
  <c r="F552" i="1"/>
  <c r="F553" i="1" s="1"/>
  <c r="F566" i="1" s="1"/>
  <c r="E552" i="1"/>
  <c r="E553" i="1" s="1"/>
  <c r="E566" i="1" s="1"/>
  <c r="D552" i="1"/>
  <c r="D553" i="1" s="1"/>
  <c r="D566" i="1" s="1"/>
  <c r="C552" i="1"/>
  <c r="C553" i="1" s="1"/>
  <c r="C566" i="1" s="1"/>
  <c r="B552" i="1"/>
  <c r="N551" i="1"/>
  <c r="N550" i="1"/>
  <c r="M544" i="1"/>
  <c r="M542" i="1"/>
  <c r="L542" i="1"/>
  <c r="L581" i="1" s="1"/>
  <c r="K542" i="1"/>
  <c r="K581" i="1" s="1"/>
  <c r="J542" i="1"/>
  <c r="J581" i="1" s="1"/>
  <c r="I542" i="1"/>
  <c r="I581" i="1" s="1"/>
  <c r="H542" i="1"/>
  <c r="G542" i="1"/>
  <c r="F542" i="1"/>
  <c r="E542" i="1"/>
  <c r="D542" i="1"/>
  <c r="D581" i="1" s="1"/>
  <c r="C542" i="1"/>
  <c r="C581" i="1" s="1"/>
  <c r="B542" i="1"/>
  <c r="N538" i="1"/>
  <c r="N537" i="1"/>
  <c r="N542" i="1" s="1"/>
  <c r="J534" i="1"/>
  <c r="J544" i="1" s="1"/>
  <c r="I534" i="1"/>
  <c r="B534" i="1"/>
  <c r="B544" i="1" s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N527" i="1"/>
  <c r="N526" i="1"/>
  <c r="N525" i="1"/>
  <c r="N522" i="1"/>
  <c r="N534" i="1" s="1"/>
  <c r="M522" i="1"/>
  <c r="M534" i="1" s="1"/>
  <c r="L522" i="1"/>
  <c r="L534" i="1" s="1"/>
  <c r="K522" i="1"/>
  <c r="K534" i="1" s="1"/>
  <c r="K544" i="1" s="1"/>
  <c r="J522" i="1"/>
  <c r="I522" i="1"/>
  <c r="H522" i="1"/>
  <c r="H534" i="1" s="1"/>
  <c r="G522" i="1"/>
  <c r="G534" i="1" s="1"/>
  <c r="F522" i="1"/>
  <c r="F534" i="1" s="1"/>
  <c r="E522" i="1"/>
  <c r="E534" i="1" s="1"/>
  <c r="D522" i="1"/>
  <c r="D534" i="1" s="1"/>
  <c r="C522" i="1"/>
  <c r="C534" i="1" s="1"/>
  <c r="C544" i="1" s="1"/>
  <c r="B522" i="1"/>
  <c r="N51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N505" i="1"/>
  <c r="N504" i="1"/>
  <c r="N503" i="1"/>
  <c r="N502" i="1"/>
  <c r="N508" i="1" s="1"/>
  <c r="N501" i="1"/>
  <c r="N500" i="1"/>
  <c r="N499" i="1"/>
  <c r="N498" i="1"/>
  <c r="N497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N490" i="1"/>
  <c r="N489" i="1"/>
  <c r="N488" i="1"/>
  <c r="N487" i="1"/>
  <c r="N486" i="1"/>
  <c r="N485" i="1"/>
  <c r="L482" i="1"/>
  <c r="L494" i="1" s="1"/>
  <c r="H482" i="1"/>
  <c r="H494" i="1" s="1"/>
  <c r="D482" i="1"/>
  <c r="D494" i="1" s="1"/>
  <c r="M481" i="1"/>
  <c r="M482" i="1" s="1"/>
  <c r="M494" i="1" s="1"/>
  <c r="L481" i="1"/>
  <c r="K481" i="1"/>
  <c r="J481" i="1"/>
  <c r="I481" i="1"/>
  <c r="H481" i="1"/>
  <c r="G481" i="1"/>
  <c r="F481" i="1"/>
  <c r="E481" i="1"/>
  <c r="E482" i="1" s="1"/>
  <c r="D481" i="1"/>
  <c r="C481" i="1"/>
  <c r="B481" i="1"/>
  <c r="N480" i="1"/>
  <c r="N481" i="1" s="1"/>
  <c r="M477" i="1"/>
  <c r="L477" i="1"/>
  <c r="K477" i="1"/>
  <c r="K482" i="1" s="1"/>
  <c r="K494" i="1" s="1"/>
  <c r="J477" i="1"/>
  <c r="J482" i="1" s="1"/>
  <c r="J494" i="1" s="1"/>
  <c r="I477" i="1"/>
  <c r="I482" i="1" s="1"/>
  <c r="I494" i="1" s="1"/>
  <c r="H477" i="1"/>
  <c r="G477" i="1"/>
  <c r="G482" i="1" s="1"/>
  <c r="G494" i="1" s="1"/>
  <c r="F477" i="1"/>
  <c r="F482" i="1" s="1"/>
  <c r="F494" i="1" s="1"/>
  <c r="E477" i="1"/>
  <c r="D477" i="1"/>
  <c r="C477" i="1"/>
  <c r="C482" i="1" s="1"/>
  <c r="C494" i="1" s="1"/>
  <c r="B477" i="1"/>
  <c r="B482" i="1" s="1"/>
  <c r="B494" i="1" s="1"/>
  <c r="N476" i="1"/>
  <c r="N477" i="1" s="1"/>
  <c r="N468" i="1"/>
  <c r="M468" i="1"/>
  <c r="L468" i="1"/>
  <c r="K468" i="1"/>
  <c r="J468" i="1"/>
  <c r="I468" i="1"/>
  <c r="I511" i="1" s="1"/>
  <c r="H468" i="1"/>
  <c r="G468" i="1"/>
  <c r="F468" i="1"/>
  <c r="F511" i="1" s="1"/>
  <c r="E468" i="1"/>
  <c r="D468" i="1"/>
  <c r="C468" i="1"/>
  <c r="B468" i="1"/>
  <c r="N464" i="1"/>
  <c r="L461" i="1"/>
  <c r="H461" i="1"/>
  <c r="H470" i="1" s="1"/>
  <c r="D461" i="1"/>
  <c r="M457" i="1"/>
  <c r="M461" i="1" s="1"/>
  <c r="L457" i="1"/>
  <c r="K457" i="1"/>
  <c r="K461" i="1" s="1"/>
  <c r="J457" i="1"/>
  <c r="J461" i="1" s="1"/>
  <c r="I457" i="1"/>
  <c r="I461" i="1" s="1"/>
  <c r="I513" i="1" s="1"/>
  <c r="H457" i="1"/>
  <c r="G457" i="1"/>
  <c r="G461" i="1" s="1"/>
  <c r="F457" i="1"/>
  <c r="F461" i="1" s="1"/>
  <c r="E457" i="1"/>
  <c r="E461" i="1" s="1"/>
  <c r="E470" i="1" s="1"/>
  <c r="D457" i="1"/>
  <c r="C457" i="1"/>
  <c r="C461" i="1" s="1"/>
  <c r="B457" i="1"/>
  <c r="B461" i="1" s="1"/>
  <c r="N454" i="1"/>
  <c r="N457" i="1" s="1"/>
  <c r="N461" i="1" s="1"/>
  <c r="N453" i="1"/>
  <c r="N445" i="1"/>
  <c r="N444" i="1"/>
  <c r="N443" i="1"/>
  <c r="N442" i="1"/>
  <c r="N436" i="1"/>
  <c r="N435" i="1"/>
  <c r="N434" i="1"/>
  <c r="N433" i="1"/>
  <c r="N432" i="1"/>
  <c r="N431" i="1"/>
  <c r="N430" i="1"/>
  <c r="N429" i="1"/>
  <c r="I423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20" i="1" s="1"/>
  <c r="M400" i="1"/>
  <c r="L400" i="1"/>
  <c r="K400" i="1"/>
  <c r="J400" i="1"/>
  <c r="I400" i="1"/>
  <c r="H400" i="1"/>
  <c r="G400" i="1"/>
  <c r="F400" i="1"/>
  <c r="E400" i="1"/>
  <c r="D400" i="1"/>
  <c r="C400" i="1"/>
  <c r="B400" i="1"/>
  <c r="N399" i="1"/>
  <c r="N398" i="1"/>
  <c r="N397" i="1"/>
  <c r="N396" i="1"/>
  <c r="N395" i="1"/>
  <c r="N394" i="1"/>
  <c r="N400" i="1" s="1"/>
  <c r="G391" i="1"/>
  <c r="G403" i="1" s="1"/>
  <c r="M390" i="1"/>
  <c r="L390" i="1"/>
  <c r="K390" i="1"/>
  <c r="J390" i="1"/>
  <c r="I390" i="1"/>
  <c r="H390" i="1"/>
  <c r="G390" i="1"/>
  <c r="F390" i="1"/>
  <c r="E390" i="1"/>
  <c r="D390" i="1"/>
  <c r="C390" i="1"/>
  <c r="B390" i="1"/>
  <c r="N389" i="1"/>
  <c r="N388" i="1"/>
  <c r="N387" i="1"/>
  <c r="N390" i="1" s="1"/>
  <c r="M384" i="1"/>
  <c r="M391" i="1" s="1"/>
  <c r="M403" i="1" s="1"/>
  <c r="L384" i="1"/>
  <c r="L391" i="1" s="1"/>
  <c r="L403" i="1" s="1"/>
  <c r="K384" i="1"/>
  <c r="K391" i="1" s="1"/>
  <c r="K403" i="1" s="1"/>
  <c r="J384" i="1"/>
  <c r="J391" i="1" s="1"/>
  <c r="J403" i="1" s="1"/>
  <c r="I384" i="1"/>
  <c r="I391" i="1" s="1"/>
  <c r="I403" i="1" s="1"/>
  <c r="H384" i="1"/>
  <c r="H391" i="1" s="1"/>
  <c r="H403" i="1" s="1"/>
  <c r="G384" i="1"/>
  <c r="F384" i="1"/>
  <c r="F391" i="1" s="1"/>
  <c r="F403" i="1" s="1"/>
  <c r="E384" i="1"/>
  <c r="E391" i="1" s="1"/>
  <c r="E403" i="1" s="1"/>
  <c r="D384" i="1"/>
  <c r="D391" i="1" s="1"/>
  <c r="D403" i="1" s="1"/>
  <c r="C384" i="1"/>
  <c r="C391" i="1" s="1"/>
  <c r="C403" i="1" s="1"/>
  <c r="B384" i="1"/>
  <c r="B391" i="1" s="1"/>
  <c r="B403" i="1" s="1"/>
  <c r="N383" i="1"/>
  <c r="N382" i="1"/>
  <c r="N381" i="1"/>
  <c r="N384" i="1" s="1"/>
  <c r="N391" i="1" s="1"/>
  <c r="N403" i="1" s="1"/>
  <c r="D375" i="1"/>
  <c r="M373" i="1"/>
  <c r="L373" i="1"/>
  <c r="K373" i="1"/>
  <c r="K423" i="1" s="1"/>
  <c r="J373" i="1"/>
  <c r="I373" i="1"/>
  <c r="H373" i="1"/>
  <c r="H423" i="1" s="1"/>
  <c r="G373" i="1"/>
  <c r="F373" i="1"/>
  <c r="F423" i="1" s="1"/>
  <c r="E373" i="1"/>
  <c r="D373" i="1"/>
  <c r="C373" i="1"/>
  <c r="C423" i="1" s="1"/>
  <c r="B373" i="1"/>
  <c r="N369" i="1"/>
  <c r="N368" i="1"/>
  <c r="N373" i="1" s="1"/>
  <c r="H365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N358" i="1"/>
  <c r="N357" i="1"/>
  <c r="N361" i="1" s="1"/>
  <c r="M354" i="1"/>
  <c r="L354" i="1"/>
  <c r="L365" i="1" s="1"/>
  <c r="L375" i="1" s="1"/>
  <c r="K354" i="1"/>
  <c r="K365" i="1" s="1"/>
  <c r="J354" i="1"/>
  <c r="J365" i="1" s="1"/>
  <c r="I354" i="1"/>
  <c r="I365" i="1" s="1"/>
  <c r="H354" i="1"/>
  <c r="G354" i="1"/>
  <c r="G365" i="1" s="1"/>
  <c r="F354" i="1"/>
  <c r="F365" i="1" s="1"/>
  <c r="E354" i="1"/>
  <c r="D354" i="1"/>
  <c r="D365" i="1" s="1"/>
  <c r="C354" i="1"/>
  <c r="C365" i="1" s="1"/>
  <c r="B354" i="1"/>
  <c r="B365" i="1" s="1"/>
  <c r="N351" i="1"/>
  <c r="N350" i="1"/>
  <c r="N349" i="1"/>
  <c r="N354" i="1" s="1"/>
  <c r="M338" i="1"/>
  <c r="L338" i="1"/>
  <c r="K338" i="1"/>
  <c r="J338" i="1"/>
  <c r="I338" i="1"/>
  <c r="H338" i="1"/>
  <c r="G338" i="1"/>
  <c r="F338" i="1"/>
  <c r="E338" i="1"/>
  <c r="D338" i="1"/>
  <c r="C338" i="1"/>
  <c r="B338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38" i="1" s="1"/>
  <c r="N323" i="1"/>
  <c r="N322" i="1"/>
  <c r="N321" i="1"/>
  <c r="N320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N313" i="1"/>
  <c r="N312" i="1"/>
  <c r="N311" i="1"/>
  <c r="N310" i="1"/>
  <c r="N309" i="1"/>
  <c r="N308" i="1"/>
  <c r="N307" i="1"/>
  <c r="N314" i="1" s="1"/>
  <c r="L304" i="1"/>
  <c r="L317" i="1" s="1"/>
  <c r="D304" i="1"/>
  <c r="D317" i="1" s="1"/>
  <c r="M303" i="1"/>
  <c r="L303" i="1"/>
  <c r="K303" i="1"/>
  <c r="J303" i="1"/>
  <c r="I303" i="1"/>
  <c r="H303" i="1"/>
  <c r="G303" i="1"/>
  <c r="F303" i="1"/>
  <c r="E303" i="1"/>
  <c r="D303" i="1"/>
  <c r="C303" i="1"/>
  <c r="B303" i="1"/>
  <c r="N302" i="1"/>
  <c r="N301" i="1"/>
  <c r="N300" i="1"/>
  <c r="N299" i="1"/>
  <c r="M296" i="1"/>
  <c r="M304" i="1" s="1"/>
  <c r="M317" i="1" s="1"/>
  <c r="L296" i="1"/>
  <c r="K296" i="1"/>
  <c r="K304" i="1" s="1"/>
  <c r="K317" i="1" s="1"/>
  <c r="J296" i="1"/>
  <c r="J304" i="1" s="1"/>
  <c r="J317" i="1" s="1"/>
  <c r="I296" i="1"/>
  <c r="I304" i="1" s="1"/>
  <c r="I317" i="1" s="1"/>
  <c r="I341" i="1" s="1"/>
  <c r="H296" i="1"/>
  <c r="H304" i="1" s="1"/>
  <c r="H317" i="1" s="1"/>
  <c r="G296" i="1"/>
  <c r="G304" i="1" s="1"/>
  <c r="G317" i="1" s="1"/>
  <c r="F296" i="1"/>
  <c r="F304" i="1" s="1"/>
  <c r="F317" i="1" s="1"/>
  <c r="E296" i="1"/>
  <c r="E304" i="1" s="1"/>
  <c r="E317" i="1" s="1"/>
  <c r="D296" i="1"/>
  <c r="C296" i="1"/>
  <c r="C304" i="1" s="1"/>
  <c r="C317" i="1" s="1"/>
  <c r="B296" i="1"/>
  <c r="B304" i="1" s="1"/>
  <c r="B317" i="1" s="1"/>
  <c r="N295" i="1"/>
  <c r="N296" i="1" s="1"/>
  <c r="M287" i="1"/>
  <c r="L287" i="1"/>
  <c r="L341" i="1" s="1"/>
  <c r="K287" i="1"/>
  <c r="J287" i="1"/>
  <c r="I287" i="1"/>
  <c r="H287" i="1"/>
  <c r="H341" i="1" s="1"/>
  <c r="G287" i="1"/>
  <c r="G341" i="1" s="1"/>
  <c r="F287" i="1"/>
  <c r="E287" i="1"/>
  <c r="E341" i="1" s="1"/>
  <c r="D287" i="1"/>
  <c r="D341" i="1" s="1"/>
  <c r="C287" i="1"/>
  <c r="B287" i="1"/>
  <c r="N283" i="1"/>
  <c r="N282" i="1"/>
  <c r="N281" i="1"/>
  <c r="N280" i="1"/>
  <c r="N287" i="1" s="1"/>
  <c r="F277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N270" i="1"/>
  <c r="N269" i="1"/>
  <c r="N268" i="1"/>
  <c r="N267" i="1"/>
  <c r="N273" i="1" s="1"/>
  <c r="M264" i="1"/>
  <c r="L264" i="1"/>
  <c r="K264" i="1"/>
  <c r="J264" i="1"/>
  <c r="I264" i="1"/>
  <c r="H264" i="1"/>
  <c r="G264" i="1"/>
  <c r="F264" i="1"/>
  <c r="E264" i="1"/>
  <c r="D264" i="1"/>
  <c r="C264" i="1"/>
  <c r="B264" i="1"/>
  <c r="N261" i="1"/>
  <c r="N260" i="1"/>
  <c r="N259" i="1"/>
  <c r="N264" i="1" s="1"/>
  <c r="M256" i="1"/>
  <c r="M277" i="1" s="1"/>
  <c r="L256" i="1"/>
  <c r="K256" i="1"/>
  <c r="J256" i="1"/>
  <c r="J277" i="1" s="1"/>
  <c r="I256" i="1"/>
  <c r="I277" i="1" s="1"/>
  <c r="H256" i="1"/>
  <c r="H277" i="1" s="1"/>
  <c r="H343" i="1" s="1"/>
  <c r="G256" i="1"/>
  <c r="G277" i="1" s="1"/>
  <c r="F256" i="1"/>
  <c r="E256" i="1"/>
  <c r="E277" i="1" s="1"/>
  <c r="D256" i="1"/>
  <c r="C256" i="1"/>
  <c r="B256" i="1"/>
  <c r="B277" i="1" s="1"/>
  <c r="N253" i="1"/>
  <c r="N252" i="1"/>
  <c r="N251" i="1"/>
  <c r="N250" i="1"/>
  <c r="N256" i="1" s="1"/>
  <c r="N277" i="1" s="1"/>
  <c r="N217" i="1"/>
  <c r="N216" i="1"/>
  <c r="N215" i="1"/>
  <c r="N214" i="1"/>
  <c r="N213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209" i="1" s="1"/>
  <c r="N10" i="1" s="1"/>
  <c r="M185" i="1"/>
  <c r="L185" i="1"/>
  <c r="K185" i="1"/>
  <c r="J185" i="1"/>
  <c r="I185" i="1"/>
  <c r="H185" i="1"/>
  <c r="G185" i="1"/>
  <c r="F185" i="1"/>
  <c r="E185" i="1"/>
  <c r="D185" i="1"/>
  <c r="C185" i="1"/>
  <c r="B185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85" i="1" s="1"/>
  <c r="N162" i="1"/>
  <c r="N161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N154" i="1"/>
  <c r="N153" i="1"/>
  <c r="N152" i="1"/>
  <c r="N151" i="1"/>
  <c r="N155" i="1" s="1"/>
  <c r="N150" i="1"/>
  <c r="N149" i="1"/>
  <c r="N148" i="1"/>
  <c r="J145" i="1"/>
  <c r="J158" i="1" s="1"/>
  <c r="J188" i="1" s="1"/>
  <c r="B145" i="1"/>
  <c r="B158" i="1" s="1"/>
  <c r="B188" i="1" s="1"/>
  <c r="M144" i="1"/>
  <c r="L144" i="1"/>
  <c r="K144" i="1"/>
  <c r="J144" i="1"/>
  <c r="I144" i="1"/>
  <c r="H144" i="1"/>
  <c r="G144" i="1"/>
  <c r="F144" i="1"/>
  <c r="E144" i="1"/>
  <c r="D144" i="1"/>
  <c r="C144" i="1"/>
  <c r="B144" i="1"/>
  <c r="N143" i="1"/>
  <c r="N142" i="1"/>
  <c r="N141" i="1"/>
  <c r="N140" i="1"/>
  <c r="N139" i="1"/>
  <c r="N138" i="1"/>
  <c r="N137" i="1"/>
  <c r="N136" i="1"/>
  <c r="N135" i="1"/>
  <c r="M132" i="1"/>
  <c r="M145" i="1" s="1"/>
  <c r="M158" i="1" s="1"/>
  <c r="M188" i="1" s="1"/>
  <c r="L132" i="1"/>
  <c r="L145" i="1" s="1"/>
  <c r="L158" i="1" s="1"/>
  <c r="L188" i="1" s="1"/>
  <c r="K132" i="1"/>
  <c r="K145" i="1" s="1"/>
  <c r="K158" i="1" s="1"/>
  <c r="K188" i="1" s="1"/>
  <c r="J132" i="1"/>
  <c r="I132" i="1"/>
  <c r="I145" i="1" s="1"/>
  <c r="I158" i="1" s="1"/>
  <c r="I188" i="1" s="1"/>
  <c r="H132" i="1"/>
  <c r="H145" i="1" s="1"/>
  <c r="H158" i="1" s="1"/>
  <c r="H188" i="1" s="1"/>
  <c r="G132" i="1"/>
  <c r="G145" i="1" s="1"/>
  <c r="G158" i="1" s="1"/>
  <c r="G188" i="1" s="1"/>
  <c r="F132" i="1"/>
  <c r="F145" i="1" s="1"/>
  <c r="E132" i="1"/>
  <c r="E145" i="1" s="1"/>
  <c r="E158" i="1" s="1"/>
  <c r="E188" i="1" s="1"/>
  <c r="D132" i="1"/>
  <c r="D145" i="1" s="1"/>
  <c r="D158" i="1" s="1"/>
  <c r="D188" i="1" s="1"/>
  <c r="C132" i="1"/>
  <c r="C145" i="1" s="1"/>
  <c r="C158" i="1" s="1"/>
  <c r="C188" i="1" s="1"/>
  <c r="B132" i="1"/>
  <c r="N131" i="1"/>
  <c r="N130" i="1"/>
  <c r="N129" i="1"/>
  <c r="N128" i="1"/>
  <c r="N127" i="1"/>
  <c r="N132" i="1" s="1"/>
  <c r="M118" i="1"/>
  <c r="L118" i="1"/>
  <c r="K118" i="1"/>
  <c r="J118" i="1"/>
  <c r="I118" i="1"/>
  <c r="H118" i="1"/>
  <c r="G118" i="1"/>
  <c r="F118" i="1"/>
  <c r="E118" i="1"/>
  <c r="D118" i="1"/>
  <c r="C118" i="1"/>
  <c r="B118" i="1"/>
  <c r="N115" i="1"/>
  <c r="N114" i="1"/>
  <c r="N113" i="1"/>
  <c r="N112" i="1"/>
  <c r="N118" i="1" s="1"/>
  <c r="M109" i="1"/>
  <c r="L109" i="1"/>
  <c r="K109" i="1"/>
  <c r="J109" i="1"/>
  <c r="I109" i="1"/>
  <c r="H109" i="1"/>
  <c r="G109" i="1"/>
  <c r="F109" i="1"/>
  <c r="E109" i="1"/>
  <c r="D109" i="1"/>
  <c r="C109" i="1"/>
  <c r="B109" i="1"/>
  <c r="N106" i="1"/>
  <c r="N105" i="1"/>
  <c r="N104" i="1"/>
  <c r="N103" i="1"/>
  <c r="N102" i="1"/>
  <c r="N109" i="1" s="1"/>
  <c r="M99" i="1"/>
  <c r="M122" i="1" s="1"/>
  <c r="L99" i="1"/>
  <c r="K99" i="1"/>
  <c r="K122" i="1" s="1"/>
  <c r="K17" i="1" s="1"/>
  <c r="J99" i="1"/>
  <c r="J122" i="1" s="1"/>
  <c r="I99" i="1"/>
  <c r="I122" i="1" s="1"/>
  <c r="H99" i="1"/>
  <c r="H122" i="1" s="1"/>
  <c r="G99" i="1"/>
  <c r="G122" i="1" s="1"/>
  <c r="F99" i="1"/>
  <c r="F122" i="1" s="1"/>
  <c r="E99" i="1"/>
  <c r="E122" i="1" s="1"/>
  <c r="D99" i="1"/>
  <c r="C99" i="1"/>
  <c r="C122" i="1" s="1"/>
  <c r="C17" i="1" s="1"/>
  <c r="B99" i="1"/>
  <c r="B122" i="1" s="1"/>
  <c r="N96" i="1"/>
  <c r="N95" i="1"/>
  <c r="N94" i="1"/>
  <c r="N93" i="1"/>
  <c r="N92" i="1"/>
  <c r="N91" i="1"/>
  <c r="N90" i="1"/>
  <c r="N99" i="1" s="1"/>
  <c r="N122" i="1" s="1"/>
  <c r="N82" i="1"/>
  <c r="M82" i="1"/>
  <c r="L82" i="1"/>
  <c r="K82" i="1"/>
  <c r="J82" i="1"/>
  <c r="I82" i="1"/>
  <c r="H82" i="1"/>
  <c r="G82" i="1"/>
  <c r="F82" i="1"/>
  <c r="D82" i="1"/>
  <c r="C82" i="1"/>
  <c r="B82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M72" i="1"/>
  <c r="L72" i="1"/>
  <c r="K72" i="1"/>
  <c r="J72" i="1"/>
  <c r="I72" i="1"/>
  <c r="H72" i="1"/>
  <c r="G72" i="1"/>
  <c r="F72" i="1"/>
  <c r="E72" i="1"/>
  <c r="D72" i="1"/>
  <c r="C72" i="1"/>
  <c r="B72" i="1"/>
  <c r="N70" i="1"/>
  <c r="F70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M66" i="1"/>
  <c r="L66" i="1"/>
  <c r="K66" i="1"/>
  <c r="J66" i="1"/>
  <c r="H66" i="1"/>
  <c r="G66" i="1"/>
  <c r="F66" i="1"/>
  <c r="E66" i="1"/>
  <c r="D66" i="1"/>
  <c r="C66" i="1"/>
  <c r="B66" i="1"/>
  <c r="N65" i="1"/>
  <c r="M65" i="1"/>
  <c r="M70" i="1" s="1"/>
  <c r="L65" i="1"/>
  <c r="L70" i="1" s="1"/>
  <c r="K65" i="1"/>
  <c r="K70" i="1" s="1"/>
  <c r="J65" i="1"/>
  <c r="J70" i="1" s="1"/>
  <c r="I65" i="1"/>
  <c r="I70" i="1" s="1"/>
  <c r="H65" i="1"/>
  <c r="F65" i="1"/>
  <c r="E65" i="1"/>
  <c r="E70" i="1" s="1"/>
  <c r="D65" i="1"/>
  <c r="D70" i="1" s="1"/>
  <c r="C65" i="1"/>
  <c r="C70" i="1" s="1"/>
  <c r="B65" i="1"/>
  <c r="B70" i="1" s="1"/>
  <c r="G60" i="1"/>
  <c r="M58" i="1"/>
  <c r="L58" i="1"/>
  <c r="J58" i="1"/>
  <c r="I58" i="1"/>
  <c r="H58" i="1"/>
  <c r="G58" i="1"/>
  <c r="F58" i="1"/>
  <c r="E58" i="1"/>
  <c r="D58" i="1"/>
  <c r="B58" i="1"/>
  <c r="N57" i="1"/>
  <c r="N60" i="1" s="1"/>
  <c r="M57" i="1"/>
  <c r="M60" i="1" s="1"/>
  <c r="L57" i="1"/>
  <c r="K57" i="1"/>
  <c r="K60" i="1" s="1"/>
  <c r="J57" i="1"/>
  <c r="J60" i="1" s="1"/>
  <c r="I57" i="1"/>
  <c r="I60" i="1" s="1"/>
  <c r="H57" i="1"/>
  <c r="H60" i="1" s="1"/>
  <c r="F57" i="1"/>
  <c r="F60" i="1" s="1"/>
  <c r="E57" i="1"/>
  <c r="E60" i="1" s="1"/>
  <c r="D57" i="1"/>
  <c r="C57" i="1"/>
  <c r="C60" i="1" s="1"/>
  <c r="N47" i="1"/>
  <c r="M47" i="1"/>
  <c r="L47" i="1"/>
  <c r="K47" i="1"/>
  <c r="J47" i="1"/>
  <c r="H47" i="1"/>
  <c r="G47" i="1"/>
  <c r="F47" i="1"/>
  <c r="E47" i="1"/>
  <c r="D47" i="1"/>
  <c r="C47" i="1"/>
  <c r="B47" i="1"/>
  <c r="M46" i="1"/>
  <c r="J46" i="1"/>
  <c r="H46" i="1"/>
  <c r="E46" i="1"/>
  <c r="B46" i="1"/>
  <c r="N45" i="1"/>
  <c r="M45" i="1"/>
  <c r="L45" i="1"/>
  <c r="K45" i="1"/>
  <c r="H45" i="1"/>
  <c r="G45" i="1"/>
  <c r="F45" i="1"/>
  <c r="E45" i="1"/>
  <c r="D45" i="1"/>
  <c r="C45" i="1"/>
  <c r="B45" i="1"/>
  <c r="L44" i="1"/>
  <c r="D44" i="1"/>
  <c r="L43" i="1"/>
  <c r="K43" i="1"/>
  <c r="J43" i="1"/>
  <c r="I43" i="1"/>
  <c r="H43" i="1"/>
  <c r="G43" i="1"/>
  <c r="E43" i="1"/>
  <c r="D43" i="1"/>
  <c r="C43" i="1"/>
  <c r="B43" i="1"/>
  <c r="M42" i="1"/>
  <c r="K42" i="1"/>
  <c r="J42" i="1"/>
  <c r="I42" i="1"/>
  <c r="H42" i="1"/>
  <c r="G42" i="1"/>
  <c r="G50" i="1" s="1"/>
  <c r="F42" i="1"/>
  <c r="E42" i="1"/>
  <c r="C42" i="1"/>
  <c r="B42" i="1"/>
  <c r="N36" i="1"/>
  <c r="M35" i="1"/>
  <c r="J35" i="1"/>
  <c r="E35" i="1"/>
  <c r="B35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M26" i="1"/>
  <c r="L26" i="1"/>
  <c r="K26" i="1"/>
  <c r="J26" i="1"/>
  <c r="H26" i="1"/>
  <c r="G26" i="1"/>
  <c r="E26" i="1"/>
  <c r="D26" i="1"/>
  <c r="C26" i="1"/>
  <c r="B26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L35" i="1" s="1"/>
  <c r="K19" i="1"/>
  <c r="K35" i="1" s="1"/>
  <c r="J19" i="1"/>
  <c r="I19" i="1"/>
  <c r="I35" i="1" s="1"/>
  <c r="H19" i="1"/>
  <c r="H35" i="1" s="1"/>
  <c r="G19" i="1"/>
  <c r="G35" i="1" s="1"/>
  <c r="F19" i="1"/>
  <c r="F35" i="1" s="1"/>
  <c r="E19" i="1"/>
  <c r="D19" i="1"/>
  <c r="D35" i="1" s="1"/>
  <c r="C19" i="1"/>
  <c r="C35" i="1" s="1"/>
  <c r="B19" i="1"/>
  <c r="G18" i="1"/>
  <c r="F18" i="1"/>
  <c r="M17" i="1"/>
  <c r="M33" i="1" s="1"/>
  <c r="J17" i="1"/>
  <c r="J33" i="1" s="1"/>
  <c r="I17" i="1"/>
  <c r="H17" i="1"/>
  <c r="H33" i="1" s="1"/>
  <c r="F17" i="1"/>
  <c r="E17" i="1"/>
  <c r="E33" i="1" s="1"/>
  <c r="B17" i="1"/>
  <c r="B33" i="1" s="1"/>
  <c r="G12" i="1"/>
  <c r="F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M12" i="1" s="1"/>
  <c r="L10" i="1"/>
  <c r="L12" i="1" s="1"/>
  <c r="K10" i="1"/>
  <c r="K12" i="1" s="1"/>
  <c r="J10" i="1"/>
  <c r="J12" i="1" s="1"/>
  <c r="I10" i="1"/>
  <c r="I12" i="1" s="1"/>
  <c r="H10" i="1"/>
  <c r="H12" i="1" s="1"/>
  <c r="G10" i="1"/>
  <c r="F10" i="1"/>
  <c r="E10" i="1"/>
  <c r="E12" i="1" s="1"/>
  <c r="D10" i="1"/>
  <c r="D12" i="1" s="1"/>
  <c r="C10" i="1"/>
  <c r="C12" i="1" s="1"/>
  <c r="B10" i="1"/>
  <c r="B12" i="1" s="1"/>
  <c r="N289" i="1" l="1"/>
  <c r="K33" i="1"/>
  <c r="N35" i="1"/>
  <c r="C33" i="1"/>
  <c r="I26" i="1"/>
  <c r="I33" i="1"/>
  <c r="H50" i="1"/>
  <c r="D425" i="1"/>
  <c r="G743" i="1"/>
  <c r="G190" i="1"/>
  <c r="G17" i="1"/>
  <c r="C425" i="1"/>
  <c r="C375" i="1"/>
  <c r="F50" i="1"/>
  <c r="D60" i="1"/>
  <c r="B190" i="1"/>
  <c r="J190" i="1"/>
  <c r="G343" i="1"/>
  <c r="G289" i="1"/>
  <c r="F341" i="1"/>
  <c r="H289" i="1"/>
  <c r="B425" i="1"/>
  <c r="B375" i="1"/>
  <c r="J375" i="1"/>
  <c r="E423" i="1"/>
  <c r="M423" i="1"/>
  <c r="C470" i="1"/>
  <c r="K470" i="1"/>
  <c r="F23" i="1"/>
  <c r="D122" i="1"/>
  <c r="L122" i="1"/>
  <c r="I343" i="1"/>
  <c r="I289" i="1"/>
  <c r="H425" i="1"/>
  <c r="H375" i="1"/>
  <c r="G423" i="1"/>
  <c r="G27" i="1" s="1"/>
  <c r="M470" i="1"/>
  <c r="N491" i="1"/>
  <c r="E190" i="1"/>
  <c r="M743" i="1"/>
  <c r="M190" i="1"/>
  <c r="B289" i="1"/>
  <c r="J343" i="1"/>
  <c r="J289" i="1"/>
  <c r="E365" i="1"/>
  <c r="M365" i="1"/>
  <c r="N423" i="1"/>
  <c r="F513" i="1"/>
  <c r="F470" i="1"/>
  <c r="D470" i="1"/>
  <c r="N11" i="1"/>
  <c r="N12" i="1" s="1"/>
  <c r="J50" i="1"/>
  <c r="H70" i="1"/>
  <c r="F743" i="1"/>
  <c r="C277" i="1"/>
  <c r="K277" i="1"/>
  <c r="B341" i="1"/>
  <c r="B27" i="1" s="1"/>
  <c r="B31" i="1" s="1"/>
  <c r="J341" i="1"/>
  <c r="F425" i="1"/>
  <c r="F375" i="1"/>
  <c r="G513" i="1"/>
  <c r="G470" i="1"/>
  <c r="I470" i="1"/>
  <c r="C743" i="1"/>
  <c r="C190" i="1"/>
  <c r="K425" i="1"/>
  <c r="K375" i="1"/>
  <c r="H18" i="1"/>
  <c r="C50" i="1"/>
  <c r="K50" i="1"/>
  <c r="D998" i="1"/>
  <c r="L998" i="1"/>
  <c r="D277" i="1"/>
  <c r="L277" i="1"/>
  <c r="C341" i="1"/>
  <c r="C27" i="1" s="1"/>
  <c r="C31" i="1" s="1"/>
  <c r="K341" i="1"/>
  <c r="N365" i="1"/>
  <c r="G425" i="1"/>
  <c r="G375" i="1"/>
  <c r="B423" i="1"/>
  <c r="J423" i="1"/>
  <c r="J998" i="1" s="1"/>
  <c r="L470" i="1"/>
  <c r="L513" i="1"/>
  <c r="N482" i="1"/>
  <c r="N494" i="1" s="1"/>
  <c r="N511" i="1" s="1"/>
  <c r="N513" i="1" s="1"/>
  <c r="K190" i="1"/>
  <c r="N17" i="1"/>
  <c r="H743" i="1"/>
  <c r="H190" i="1"/>
  <c r="E289" i="1"/>
  <c r="E343" i="1"/>
  <c r="M289" i="1"/>
  <c r="F289" i="1"/>
  <c r="F343" i="1"/>
  <c r="N303" i="1"/>
  <c r="N304" i="1" s="1"/>
  <c r="N317" i="1" s="1"/>
  <c r="N341" i="1" s="1"/>
  <c r="N470" i="1"/>
  <c r="E494" i="1"/>
  <c r="N683" i="1"/>
  <c r="E50" i="1"/>
  <c r="M50" i="1"/>
  <c r="L60" i="1"/>
  <c r="I190" i="1"/>
  <c r="F158" i="1"/>
  <c r="F188" i="1" s="1"/>
  <c r="N144" i="1"/>
  <c r="N145" i="1" s="1"/>
  <c r="N158" i="1" s="1"/>
  <c r="N188" i="1" s="1"/>
  <c r="M341" i="1"/>
  <c r="M998" i="1" s="1"/>
  <c r="I425" i="1"/>
  <c r="I375" i="1"/>
  <c r="D423" i="1"/>
  <c r="L423" i="1"/>
  <c r="L27" i="1" s="1"/>
  <c r="L31" i="1" s="1"/>
  <c r="B513" i="1"/>
  <c r="B470" i="1"/>
  <c r="J513" i="1"/>
  <c r="J470" i="1"/>
  <c r="B511" i="1"/>
  <c r="J511" i="1"/>
  <c r="F544" i="1"/>
  <c r="N544" i="1"/>
  <c r="E511" i="1"/>
  <c r="E513" i="1" s="1"/>
  <c r="M511" i="1"/>
  <c r="M513" i="1" s="1"/>
  <c r="G651" i="1"/>
  <c r="E688" i="1"/>
  <c r="M688" i="1"/>
  <c r="N771" i="1"/>
  <c r="N774" i="1" s="1"/>
  <c r="N800" i="1" s="1"/>
  <c r="N802" i="1" s="1"/>
  <c r="N42" i="1" s="1"/>
  <c r="N812" i="1"/>
  <c r="N821" i="1" s="1"/>
  <c r="N837" i="1" s="1"/>
  <c r="N848" i="1" s="1"/>
  <c r="N43" i="1" s="1"/>
  <c r="N893" i="1"/>
  <c r="F928" i="1"/>
  <c r="F941" i="1" s="1"/>
  <c r="F977" i="1" s="1"/>
  <c r="F979" i="1" s="1"/>
  <c r="F46" i="1" s="1"/>
  <c r="N973" i="1"/>
  <c r="G511" i="1"/>
  <c r="G583" i="1"/>
  <c r="G544" i="1"/>
  <c r="E581" i="1"/>
  <c r="E583" i="1" s="1"/>
  <c r="M581" i="1"/>
  <c r="M583" i="1" s="1"/>
  <c r="N601" i="1"/>
  <c r="N619" i="1" s="1"/>
  <c r="G629" i="1"/>
  <c r="G653" i="1"/>
  <c r="I651" i="1"/>
  <c r="I998" i="1" s="1"/>
  <c r="E653" i="1"/>
  <c r="H876" i="1"/>
  <c r="H897" i="1" s="1"/>
  <c r="H899" i="1" s="1"/>
  <c r="H44" i="1" s="1"/>
  <c r="H511" i="1"/>
  <c r="H27" i="1" s="1"/>
  <c r="H31" i="1" s="1"/>
  <c r="H583" i="1"/>
  <c r="H544" i="1"/>
  <c r="I544" i="1"/>
  <c r="I583" i="1"/>
  <c r="F581" i="1"/>
  <c r="F583" i="1" s="1"/>
  <c r="E544" i="1"/>
  <c r="H653" i="1"/>
  <c r="H629" i="1"/>
  <c r="F653" i="1"/>
  <c r="N720" i="1"/>
  <c r="D774" i="1"/>
  <c r="D800" i="1" s="1"/>
  <c r="D802" i="1" s="1"/>
  <c r="D42" i="1" s="1"/>
  <c r="D50" i="1" s="1"/>
  <c r="L774" i="1"/>
  <c r="L800" i="1" s="1"/>
  <c r="L802" i="1" s="1"/>
  <c r="L42" i="1" s="1"/>
  <c r="L50" i="1" s="1"/>
  <c r="N863" i="1"/>
  <c r="N876" i="1" s="1"/>
  <c r="I863" i="1"/>
  <c r="I876" i="1" s="1"/>
  <c r="I897" i="1" s="1"/>
  <c r="I899" i="1" s="1"/>
  <c r="I44" i="1" s="1"/>
  <c r="I50" i="1" s="1"/>
  <c r="N928" i="1"/>
  <c r="N941" i="1" s="1"/>
  <c r="N977" i="1" s="1"/>
  <c r="N979" i="1" s="1"/>
  <c r="N46" i="1" s="1"/>
  <c r="I619" i="1"/>
  <c r="M653" i="1"/>
  <c r="N688" i="1"/>
  <c r="I688" i="1"/>
  <c r="I683" i="1"/>
  <c r="B863" i="1"/>
  <c r="B876" i="1" s="1"/>
  <c r="B897" i="1" s="1"/>
  <c r="B899" i="1" s="1"/>
  <c r="B44" i="1" s="1"/>
  <c r="B50" i="1" s="1"/>
  <c r="J863" i="1"/>
  <c r="J876" i="1" s="1"/>
  <c r="J897" i="1" s="1"/>
  <c r="J899" i="1" s="1"/>
  <c r="J44" i="1" s="1"/>
  <c r="H513" i="1"/>
  <c r="N566" i="1"/>
  <c r="N581" i="1" s="1"/>
  <c r="N583" i="1" s="1"/>
  <c r="C583" i="1"/>
  <c r="B619" i="1"/>
  <c r="J619" i="1"/>
  <c r="D651" i="1"/>
  <c r="D653" i="1" s="1"/>
  <c r="B683" i="1"/>
  <c r="B688" i="1"/>
  <c r="J683" i="1"/>
  <c r="J688" i="1"/>
  <c r="N796" i="1"/>
  <c r="C511" i="1"/>
  <c r="C513" i="1" s="1"/>
  <c r="K511" i="1"/>
  <c r="K513" i="1" s="1"/>
  <c r="C653" i="1"/>
  <c r="C629" i="1"/>
  <c r="K653" i="1"/>
  <c r="K629" i="1"/>
  <c r="D511" i="1"/>
  <c r="D513" i="1" s="1"/>
  <c r="L511" i="1"/>
  <c r="D583" i="1"/>
  <c r="D544" i="1"/>
  <c r="L583" i="1"/>
  <c r="L544" i="1"/>
  <c r="B581" i="1"/>
  <c r="B583" i="1" s="1"/>
  <c r="N578" i="1"/>
  <c r="K583" i="1"/>
  <c r="D629" i="1"/>
  <c r="L629" i="1"/>
  <c r="L653" i="1"/>
  <c r="N651" i="1"/>
  <c r="G683" i="1"/>
  <c r="H683" i="1"/>
  <c r="N27" i="1" l="1"/>
  <c r="N343" i="1"/>
  <c r="N26" i="1"/>
  <c r="N31" i="1" s="1"/>
  <c r="N190" i="1"/>
  <c r="G34" i="1"/>
  <c r="G31" i="1"/>
  <c r="N50" i="1"/>
  <c r="K289" i="1"/>
  <c r="K343" i="1"/>
  <c r="K18" i="1"/>
  <c r="E27" i="1"/>
  <c r="E31" i="1" s="1"/>
  <c r="F998" i="1"/>
  <c r="F26" i="1"/>
  <c r="K743" i="1"/>
  <c r="N425" i="1"/>
  <c r="N375" i="1"/>
  <c r="C289" i="1"/>
  <c r="C343" i="1"/>
  <c r="C18" i="1"/>
  <c r="M425" i="1"/>
  <c r="M375" i="1"/>
  <c r="M18" i="1"/>
  <c r="N743" i="1"/>
  <c r="G33" i="1"/>
  <c r="G23" i="1"/>
  <c r="I27" i="1"/>
  <c r="N629" i="1"/>
  <c r="N653" i="1"/>
  <c r="I653" i="1"/>
  <c r="I18" i="1"/>
  <c r="I629" i="1"/>
  <c r="K27" i="1"/>
  <c r="K31" i="1" s="1"/>
  <c r="B998" i="1"/>
  <c r="E425" i="1"/>
  <c r="E375" i="1"/>
  <c r="E18" i="1"/>
  <c r="E743" i="1"/>
  <c r="E1002" i="1" s="1"/>
  <c r="E1104" i="1" s="1"/>
  <c r="J425" i="1"/>
  <c r="G998" i="1"/>
  <c r="N18" i="1"/>
  <c r="I743" i="1"/>
  <c r="I1002" i="1" s="1"/>
  <c r="I1104" i="1" s="1"/>
  <c r="E998" i="1"/>
  <c r="K998" i="1"/>
  <c r="H998" i="1"/>
  <c r="H1002" i="1" s="1"/>
  <c r="H1104" i="1" s="1"/>
  <c r="G1002" i="1"/>
  <c r="G1104" i="1" s="1"/>
  <c r="J653" i="1"/>
  <c r="J629" i="1"/>
  <c r="J18" i="1"/>
  <c r="N897" i="1"/>
  <c r="N899" i="1" s="1"/>
  <c r="N44" i="1" s="1"/>
  <c r="D27" i="1"/>
  <c r="D31" i="1" s="1"/>
  <c r="L289" i="1"/>
  <c r="L343" i="1"/>
  <c r="L18" i="1"/>
  <c r="L34" i="1" s="1"/>
  <c r="H23" i="1"/>
  <c r="H54" i="1" s="1"/>
  <c r="H34" i="1"/>
  <c r="H39" i="1" s="1"/>
  <c r="H52" i="1" s="1"/>
  <c r="H62" i="1" s="1"/>
  <c r="C998" i="1"/>
  <c r="C1002" i="1" s="1"/>
  <c r="C1104" i="1" s="1"/>
  <c r="J743" i="1"/>
  <c r="J1002" i="1" s="1"/>
  <c r="J1104" i="1" s="1"/>
  <c r="I31" i="1"/>
  <c r="B653" i="1"/>
  <c r="B629" i="1"/>
  <c r="B18" i="1"/>
  <c r="D289" i="1"/>
  <c r="D18" i="1"/>
  <c r="D343" i="1"/>
  <c r="F190" i="1"/>
  <c r="L743" i="1"/>
  <c r="L1002" i="1" s="1"/>
  <c r="L1104" i="1" s="1"/>
  <c r="L17" i="1"/>
  <c r="L190" i="1"/>
  <c r="M27" i="1"/>
  <c r="M31" i="1" s="1"/>
  <c r="N23" i="1"/>
  <c r="M1002" i="1"/>
  <c r="M1104" i="1" s="1"/>
  <c r="M343" i="1"/>
  <c r="J27" i="1"/>
  <c r="J31" i="1" s="1"/>
  <c r="F1002" i="1"/>
  <c r="F1104" i="1" s="1"/>
  <c r="B343" i="1"/>
  <c r="D743" i="1"/>
  <c r="D1002" i="1" s="1"/>
  <c r="D1104" i="1" s="1"/>
  <c r="D190" i="1"/>
  <c r="D17" i="1"/>
  <c r="L425" i="1"/>
  <c r="F27" i="1"/>
  <c r="F34" i="1" s="1"/>
  <c r="B743" i="1"/>
  <c r="B1002" i="1" s="1"/>
  <c r="B1104" i="1" s="1"/>
  <c r="M34" i="1" l="1"/>
  <c r="M39" i="1" s="1"/>
  <c r="M52" i="1" s="1"/>
  <c r="M62" i="1" s="1"/>
  <c r="M23" i="1"/>
  <c r="M54" i="1" s="1"/>
  <c r="K1002" i="1"/>
  <c r="K1104" i="1" s="1"/>
  <c r="E34" i="1"/>
  <c r="E39" i="1" s="1"/>
  <c r="E52" i="1" s="1"/>
  <c r="E62" i="1" s="1"/>
  <c r="E23" i="1"/>
  <c r="E54" i="1" s="1"/>
  <c r="C34" i="1"/>
  <c r="C39" i="1" s="1"/>
  <c r="C52" i="1" s="1"/>
  <c r="C62" i="1" s="1"/>
  <c r="C23" i="1"/>
  <c r="C54" i="1" s="1"/>
  <c r="F31" i="1"/>
  <c r="F33" i="1"/>
  <c r="F39" i="1" s="1"/>
  <c r="F52" i="1" s="1"/>
  <c r="J23" i="1"/>
  <c r="J54" i="1" s="1"/>
  <c r="J34" i="1"/>
  <c r="J39" i="1" s="1"/>
  <c r="J52" i="1" s="1"/>
  <c r="J62" i="1" s="1"/>
  <c r="K34" i="1"/>
  <c r="K39" i="1" s="1"/>
  <c r="K52" i="1" s="1"/>
  <c r="K62" i="1" s="1"/>
  <c r="K23" i="1"/>
  <c r="K54" i="1" s="1"/>
  <c r="L33" i="1"/>
  <c r="L39" i="1" s="1"/>
  <c r="L52" i="1" s="1"/>
  <c r="L62" i="1" s="1"/>
  <c r="L23" i="1"/>
  <c r="L54" i="1" s="1"/>
  <c r="D33" i="1"/>
  <c r="D23" i="1"/>
  <c r="D34" i="1"/>
  <c r="H74" i="1"/>
  <c r="H76" i="1"/>
  <c r="H80" i="1" s="1"/>
  <c r="H84" i="1" s="1"/>
  <c r="N998" i="1"/>
  <c r="N1002" i="1" s="1"/>
  <c r="N1104" i="1" s="1"/>
  <c r="G39" i="1"/>
  <c r="G52" i="1" s="1"/>
  <c r="G62" i="1" s="1"/>
  <c r="B23" i="1"/>
  <c r="B34" i="1"/>
  <c r="I34" i="1"/>
  <c r="I39" i="1" s="1"/>
  <c r="I52" i="1" s="1"/>
  <c r="I62" i="1" s="1"/>
  <c r="I23" i="1"/>
  <c r="I54" i="1" s="1"/>
  <c r="G54" i="1" l="1"/>
  <c r="L76" i="1"/>
  <c r="L80" i="1" s="1"/>
  <c r="L84" i="1" s="1"/>
  <c r="L74" i="1"/>
  <c r="C76" i="1"/>
  <c r="C80" i="1" s="1"/>
  <c r="C84" i="1" s="1"/>
  <c r="C74" i="1"/>
  <c r="G74" i="1"/>
  <c r="G76" i="1"/>
  <c r="G80" i="1" s="1"/>
  <c r="G84" i="1" s="1"/>
  <c r="E76" i="1"/>
  <c r="E80" i="1" s="1"/>
  <c r="E84" i="1" s="1"/>
  <c r="E74" i="1"/>
  <c r="D39" i="1"/>
  <c r="D52" i="1" s="1"/>
  <c r="D62" i="1" s="1"/>
  <c r="N33" i="1"/>
  <c r="K76" i="1"/>
  <c r="K80" i="1" s="1"/>
  <c r="K84" i="1" s="1"/>
  <c r="K74" i="1"/>
  <c r="I74" i="1"/>
  <c r="I76" i="1"/>
  <c r="I80" i="1" s="1"/>
  <c r="I84" i="1" s="1"/>
  <c r="J74" i="1"/>
  <c r="J76" i="1"/>
  <c r="J80" i="1" s="1"/>
  <c r="J84" i="1" s="1"/>
  <c r="N34" i="1"/>
  <c r="B39" i="1"/>
  <c r="B52" i="1" s="1"/>
  <c r="B62" i="1" s="1"/>
  <c r="B54" i="1"/>
  <c r="D54" i="1"/>
  <c r="F62" i="1"/>
  <c r="F54" i="1"/>
  <c r="M76" i="1"/>
  <c r="M80" i="1" s="1"/>
  <c r="M84" i="1" s="1"/>
  <c r="M74" i="1"/>
  <c r="F74" i="1" l="1"/>
  <c r="F76" i="1"/>
  <c r="F80" i="1" s="1"/>
  <c r="F84" i="1" s="1"/>
  <c r="B74" i="1"/>
  <c r="B76" i="1"/>
  <c r="B80" i="1" s="1"/>
  <c r="B84" i="1" s="1"/>
  <c r="N39" i="1"/>
  <c r="N52" i="1" s="1"/>
  <c r="D76" i="1"/>
  <c r="D80" i="1" s="1"/>
  <c r="D84" i="1" s="1"/>
  <c r="D74" i="1"/>
  <c r="N62" i="1" l="1"/>
  <c r="N54" i="1"/>
  <c r="N74" i="1" l="1"/>
  <c r="N76" i="1"/>
  <c r="N80" i="1" s="1"/>
  <c r="N84" i="1" s="1"/>
</calcChain>
</file>

<file path=xl/sharedStrings.xml><?xml version="1.0" encoding="utf-8"?>
<sst xmlns="http://schemas.openxmlformats.org/spreadsheetml/2006/main" count="742" uniqueCount="665">
  <si>
    <t>All Profit Centers</t>
  </si>
  <si>
    <t>Income Statement</t>
  </si>
  <si>
    <t>Period From 01/01/2023 To 12/31/2023</t>
  </si>
  <si>
    <t/>
  </si>
  <si>
    <t>Total</t>
  </si>
  <si>
    <t>Jan, 2023</t>
  </si>
  <si>
    <t>Feb, 2023</t>
  </si>
  <si>
    <t>Mar, 2023</t>
  </si>
  <si>
    <t>Apr, 2023</t>
  </si>
  <si>
    <t>May, 2023</t>
  </si>
  <si>
    <t>Jun, 2023</t>
  </si>
  <si>
    <t>Jul, 2023</t>
  </si>
  <si>
    <t>Aug, 2023</t>
  </si>
  <si>
    <t>Sep, 2023</t>
  </si>
  <si>
    <t>Oct, 2023</t>
  </si>
  <si>
    <t>Nov, 2023</t>
  </si>
  <si>
    <t>Dec, 2023</t>
  </si>
  <si>
    <t>Jan, 2023 - Dec, 2023</t>
  </si>
  <si>
    <t>Summary</t>
  </si>
  <si>
    <t>Rooms Available</t>
  </si>
  <si>
    <t>Rooms Sold</t>
  </si>
  <si>
    <t>Occupancy %</t>
  </si>
  <si>
    <t>ADR</t>
  </si>
  <si>
    <t>RevPAR</t>
  </si>
  <si>
    <t>Operating Revenue</t>
  </si>
  <si>
    <t>Room Department</t>
  </si>
  <si>
    <t>Food and Beverages Department</t>
  </si>
  <si>
    <t>Other Operating Department</t>
  </si>
  <si>
    <t>Miscellaneous Income</t>
  </si>
  <si>
    <t>Total Operating Revenue</t>
  </si>
  <si>
    <t>Departmental Expenses</t>
  </si>
  <si>
    <t>Total Departmental Expenses</t>
  </si>
  <si>
    <t>Total Departmental Income</t>
  </si>
  <si>
    <t>Undistributed Operating Expense</t>
  </si>
  <si>
    <t>Administrative &amp; General</t>
  </si>
  <si>
    <t>Information &amp; Telecom System</t>
  </si>
  <si>
    <t>Sales &amp; Marketing</t>
  </si>
  <si>
    <t>Franchise &amp; Affiliation</t>
  </si>
  <si>
    <t>Property Operations &amp; Maintenance</t>
  </si>
  <si>
    <t>Utilities</t>
  </si>
  <si>
    <t>Total Undistributed Operating Expense</t>
  </si>
  <si>
    <t>Gross Operating Profit</t>
  </si>
  <si>
    <t>GOP %</t>
  </si>
  <si>
    <t>Management Fees</t>
  </si>
  <si>
    <t>CAM and Lease Expense</t>
  </si>
  <si>
    <t>Total Management Fees</t>
  </si>
  <si>
    <t xml:space="preserve">Income Before </t>
  </si>
  <si>
    <t>Non-Operating Expenses</t>
  </si>
  <si>
    <t>Property &amp; Other Taxes</t>
  </si>
  <si>
    <t>Insurance</t>
  </si>
  <si>
    <t>Other Non-Operating Exp</t>
  </si>
  <si>
    <t>Total Non-Operating Expenses</t>
  </si>
  <si>
    <t>Non-Operating Income</t>
  </si>
  <si>
    <t>Net Operating Income(NOI)</t>
  </si>
  <si>
    <t>EBITDA</t>
  </si>
  <si>
    <t>Interest Expense</t>
  </si>
  <si>
    <t>EBTDA</t>
  </si>
  <si>
    <t>Depreciation &amp; Amortization</t>
  </si>
  <si>
    <t>Net Income (loss)</t>
  </si>
  <si>
    <t>Room Department Revenue</t>
  </si>
  <si>
    <t>Transient Revenue</t>
  </si>
  <si>
    <t>40010.000 . Transient - Best Available Rate</t>
  </si>
  <si>
    <t>40020.000 . Transient - Consortia</t>
  </si>
  <si>
    <t>40060.000 . Transient - Corporate Marketing Programs</t>
  </si>
  <si>
    <t>40070.000 . Transient - Other Discounts</t>
  </si>
  <si>
    <t>40110.000 . Transient - Corporate Negotiate</t>
  </si>
  <si>
    <t>40120.000 . Transient - Local Negotiated</t>
  </si>
  <si>
    <t>40270.000 . Transient Government</t>
  </si>
  <si>
    <t>Total Transient Revenue</t>
  </si>
  <si>
    <t>Group Revenue</t>
  </si>
  <si>
    <t>40350.000 . Group - Corporate</t>
  </si>
  <si>
    <t>40400.000 . Group - Association/Convention</t>
  </si>
  <si>
    <t>40450.000 . Group - Government</t>
  </si>
  <si>
    <t>40500.000 . Group - Tour/Wholesalers</t>
  </si>
  <si>
    <t>40525.000 . Group - SMERF</t>
  </si>
  <si>
    <t>Total Group Revenue</t>
  </si>
  <si>
    <t>Other Revenue</t>
  </si>
  <si>
    <t>40600.000 . Contract Revenue</t>
  </si>
  <si>
    <t>40800.000 . Room Allowances</t>
  </si>
  <si>
    <t>40900.000 . Guaranteed No Show</t>
  </si>
  <si>
    <t>40930.000 . Late Checkout Fees</t>
  </si>
  <si>
    <t>Total Other Revenue</t>
  </si>
  <si>
    <t>Total Room Department Revenue</t>
  </si>
  <si>
    <t>Room Expense</t>
  </si>
  <si>
    <t>Payroll Expense/Management</t>
  </si>
  <si>
    <t>Management</t>
  </si>
  <si>
    <t>42006.000 . Payroll - Executive Housekeeper</t>
  </si>
  <si>
    <t>42010.000 . Payroll - Assistant Housekeeper</t>
  </si>
  <si>
    <t>42040.000 . Payroll - Front Office Manager</t>
  </si>
  <si>
    <t>42050.000 . Payroll - Front Desk Supervisor</t>
  </si>
  <si>
    <t>42052.000 . Payroll- Valet</t>
  </si>
  <si>
    <t>Total Management</t>
  </si>
  <si>
    <t>Non-Management</t>
  </si>
  <si>
    <t>42060.000 . Payroll - Room Inspectors</t>
  </si>
  <si>
    <t>42070.000 . Payroll - Room Attendants</t>
  </si>
  <si>
    <t>42080.000 . Payroll - House Person</t>
  </si>
  <si>
    <t>42090.000 . Payroll - Lobby/Public Space</t>
  </si>
  <si>
    <t>42100.000 . Payroll - Reservations Desk</t>
  </si>
  <si>
    <t>42110.000 . Payroll - Guest Service Agent</t>
  </si>
  <si>
    <t>42120.000 . Payroll - Night Audit</t>
  </si>
  <si>
    <t>42195.000 . Payroll - Laundry Attendant</t>
  </si>
  <si>
    <t>42199.000 . Contract Labour</t>
  </si>
  <si>
    <t>Total Non-Management</t>
  </si>
  <si>
    <t>Total Payroll Expense/Management</t>
  </si>
  <si>
    <t>Payroll Taxes &amp; Benefits</t>
  </si>
  <si>
    <t>42210.000 . Bonus &amp; Incentives</t>
  </si>
  <si>
    <t>42250.000 . Payroll Taxes</t>
  </si>
  <si>
    <t>42300.000 . Workers Compensation</t>
  </si>
  <si>
    <t>42400.000 . Employee Benefits - Insurance</t>
  </si>
  <si>
    <t>42401.000 . Employee Benefits - Vacation Pay</t>
  </si>
  <si>
    <t>42402.000 . Employee Benefits - Sick Pay</t>
  </si>
  <si>
    <t>42403.000 . Employee Benefits - Holiday Pay</t>
  </si>
  <si>
    <t>Total Payroll Taxes &amp; Benefits</t>
  </si>
  <si>
    <t>Total Room Expense</t>
  </si>
  <si>
    <t>Other Expenses</t>
  </si>
  <si>
    <t>43050.000 . Cleaning Supplies</t>
  </si>
  <si>
    <t>43120.000 . Complimentary F &amp; B</t>
  </si>
  <si>
    <t>43130.000 . Complimentary In Room Entertainment</t>
  </si>
  <si>
    <t>43150.000 . Complimentary Service &amp; Gifts</t>
  </si>
  <si>
    <t>43152.000 . Service Recovery</t>
  </si>
  <si>
    <t>43200.000 . Commissions</t>
  </si>
  <si>
    <t>43210.000 . Commissions &amp; Fees Group</t>
  </si>
  <si>
    <t>43240.000 . Contract Service</t>
  </si>
  <si>
    <t>43260.000 . Dues &amp; Subscriptions</t>
  </si>
  <si>
    <t>43300.000 . Equipment Rental</t>
  </si>
  <si>
    <t>43450.000 . Guest Supplies</t>
  </si>
  <si>
    <t>43460.000 . Guest Transportation</t>
  </si>
  <si>
    <t>43465.000 . In-room small appliances</t>
  </si>
  <si>
    <t>43480.000 . Laundry</t>
  </si>
  <si>
    <t>43520.000 . Linen</t>
  </si>
  <si>
    <t>43560.000 . Chargebacks</t>
  </si>
  <si>
    <t>43580.000 . Operating Supplies</t>
  </si>
  <si>
    <t>43590.000 . Postage and Delivery Charges</t>
  </si>
  <si>
    <t>43700.000 . Printing &amp; Stationary</t>
  </si>
  <si>
    <t>43800.000 . Training</t>
  </si>
  <si>
    <t>43900.000 . Uniforms</t>
  </si>
  <si>
    <t>43920.000 . Employee Meals</t>
  </si>
  <si>
    <t>Total Other Expenses</t>
  </si>
  <si>
    <t>Total Room Department Expenses</t>
  </si>
  <si>
    <t>Total Room Department Profit/(Loss)</t>
  </si>
  <si>
    <t>Room Statistics</t>
  </si>
  <si>
    <t>Transient - Best Available Rate</t>
  </si>
  <si>
    <t>Transient - Consortia</t>
  </si>
  <si>
    <t>Transient - Government</t>
  </si>
  <si>
    <t>Transient - Corporate Marketing Programs</t>
  </si>
  <si>
    <t>Transient - Other Discounts</t>
  </si>
  <si>
    <t>Transient - Corporate Negotiate</t>
  </si>
  <si>
    <t>Transient - Local Negotiated</t>
  </si>
  <si>
    <t>Group - Corporate</t>
  </si>
  <si>
    <t>Group - Association/Convention</t>
  </si>
  <si>
    <t>Group - Government</t>
  </si>
  <si>
    <t>Group - Tour/Wholesalers</t>
  </si>
  <si>
    <t>Group - SMERF</t>
  </si>
  <si>
    <t>Contract Revenue</t>
  </si>
  <si>
    <t>Total Rooms Sold</t>
  </si>
  <si>
    <t>Guests</t>
  </si>
  <si>
    <t>Out of Order Rooms</t>
  </si>
  <si>
    <t>Complimentary Rooms</t>
  </si>
  <si>
    <t>Guaranteed No Show Rooms</t>
  </si>
  <si>
    <t>Vacant Rooms</t>
  </si>
  <si>
    <t>Transient ADR</t>
  </si>
  <si>
    <t>Total Transient ADR</t>
  </si>
  <si>
    <t>Group ADR</t>
  </si>
  <si>
    <t>Total Group ADR</t>
  </si>
  <si>
    <t>Contract ADR</t>
  </si>
  <si>
    <t>Total Contract ADR</t>
  </si>
  <si>
    <t>Banquet &amp; Catering Department</t>
  </si>
  <si>
    <t>Banquet &amp; Catering Department Revenue</t>
  </si>
  <si>
    <t>Banqeut Food Revenue</t>
  </si>
  <si>
    <t>50605.000 . Banquet Food Revenue - Breakfast</t>
  </si>
  <si>
    <t>50610.000 . Banquet Food Revenue - Lunch</t>
  </si>
  <si>
    <t>50620.000 . Banquet Food Revenue - Dinner</t>
  </si>
  <si>
    <t>50630.000 . Banquet Food Revenue - Coffee Break</t>
  </si>
  <si>
    <t>Total Banqeut Food Revenue</t>
  </si>
  <si>
    <t>Banquet Beverage Revenue</t>
  </si>
  <si>
    <t>50650.000 . Banquet Beverage Revenue - Beer</t>
  </si>
  <si>
    <t>50660.000 . Banquet Beverage Revenue - Liqour</t>
  </si>
  <si>
    <t>50670.000 . Banquet Beverage Revenue - Wine</t>
  </si>
  <si>
    <t>Total Banquet Beverage Revenue</t>
  </si>
  <si>
    <t>Banquet Other Revenue</t>
  </si>
  <si>
    <t>50700.000 . Banquet Room Rental Revenue</t>
  </si>
  <si>
    <t>50710.000 . Banquet Surcharges &amp; Service Charges</t>
  </si>
  <si>
    <t>50800.000 . Banquet A/V Rental Revenue</t>
  </si>
  <si>
    <t>50850.000 . Banquet Other Miscellaneous Revenue</t>
  </si>
  <si>
    <t>Total Banquet Other Revenue</t>
  </si>
  <si>
    <t>Total Banquet &amp; Catering Department Revenue</t>
  </si>
  <si>
    <t>Banquet &amp; Catering Department Cost Of Sales</t>
  </si>
  <si>
    <t>51100.000 . Cost of Food Sales</t>
  </si>
  <si>
    <t>51200.000 . Cost of Beverage</t>
  </si>
  <si>
    <t>51600.000 . Cost of A/V Rental</t>
  </si>
  <si>
    <t>51700.000 . Cost of Other - GRT</t>
  </si>
  <si>
    <t>Total Banquet &amp; Catering Department Cost Of Sales</t>
  </si>
  <si>
    <t>Gross Operating Income</t>
  </si>
  <si>
    <t>Banquet Payroll</t>
  </si>
  <si>
    <t>Banquet Salaries &amp; Wages</t>
  </si>
  <si>
    <t>Banquet Payroll Expense/Management</t>
  </si>
  <si>
    <t>52030.000 . Payroll - Banquet Manager</t>
  </si>
  <si>
    <t>Total Banquet Payroll Expense/Management</t>
  </si>
  <si>
    <t>Banquet Non-Management</t>
  </si>
  <si>
    <t>52040.000 . Payroll - Banquet Captain</t>
  </si>
  <si>
    <t>52100.000 . Payroll - Banquet Server</t>
  </si>
  <si>
    <t>52140.000 . Payroll - Banquet Set Up</t>
  </si>
  <si>
    <t>52199.000 . Contract Labour</t>
  </si>
  <si>
    <t>Total Banquet Non-Management</t>
  </si>
  <si>
    <t>Total Banquet Salaries &amp; Wages</t>
  </si>
  <si>
    <t>Banquet Taxes &amp; Benefits</t>
  </si>
  <si>
    <t>52210.000 . Bonus &amp; Incentives</t>
  </si>
  <si>
    <t>52250.000 . Payroll Taxes</t>
  </si>
  <si>
    <t>52300.000 . Workers Compensation</t>
  </si>
  <si>
    <t>52400.000 . Employee Benefits - Insurance</t>
  </si>
  <si>
    <t>52401.000 . Employee Benefits - Vacation Pay</t>
  </si>
  <si>
    <t>52402.000 . Employee Benefits - Sick Pay</t>
  </si>
  <si>
    <t>52403.000 . Employee Benefits - Holiday Pay</t>
  </si>
  <si>
    <t>Total Banquet Taxes &amp; Benefits</t>
  </si>
  <si>
    <t>Total Banquet Payroll</t>
  </si>
  <si>
    <t>53010.000 . China</t>
  </si>
  <si>
    <t>53050.000 . Cleaning Supplies</t>
  </si>
  <si>
    <t>53150.000 . Complimentary Service &amp; Gifts</t>
  </si>
  <si>
    <t>53250.000 . Decorations</t>
  </si>
  <si>
    <t>53255.000 . Dishwashing Supplies</t>
  </si>
  <si>
    <t>53300.000 . Equipment Rental</t>
  </si>
  <si>
    <t>53310.000 . Flatware/Silver</t>
  </si>
  <si>
    <t>53400.000 . Kitchen Fuel</t>
  </si>
  <si>
    <t>53450.000 . Kitchen Smallwares</t>
  </si>
  <si>
    <t>53500.000 . Licenses &amp; Permits</t>
  </si>
  <si>
    <t>53520.000 . Linen</t>
  </si>
  <si>
    <t>53580.000 . Operating Supplies</t>
  </si>
  <si>
    <t>53600.000 . Paper &amp; Plastics</t>
  </si>
  <si>
    <t>53800.000 . Training</t>
  </si>
  <si>
    <t>53880.000 . Uniforms</t>
  </si>
  <si>
    <t>53930.000 . Utensils</t>
  </si>
  <si>
    <t>Total Banquet &amp; Catering Department Expenses</t>
  </si>
  <si>
    <t>Total Banquet &amp; Catering Department Profit/(Loss)</t>
  </si>
  <si>
    <t>Restaurant One</t>
  </si>
  <si>
    <t>Restaurant One Revenue</t>
  </si>
  <si>
    <t>Restaurant One Food Revenue</t>
  </si>
  <si>
    <t>60050.000 . Restaurant One - Food Sales - Breakfast</t>
  </si>
  <si>
    <t>60060.000 . Restaurant One - Food Sales - Lunch</t>
  </si>
  <si>
    <t>60070.000 . Restaurant One - Food Sales - Dinner</t>
  </si>
  <si>
    <t>Total Restaurant One Food Revenue</t>
  </si>
  <si>
    <t>Restaurant One Beverage Revenue</t>
  </si>
  <si>
    <t>60150.000 . Restaurant One - Beverage Sales - Beer</t>
  </si>
  <si>
    <t>60200.000 . Restaurant One - Beverage Sales - Liquor</t>
  </si>
  <si>
    <t>Total Restaurant One Beverage Revenue</t>
  </si>
  <si>
    <t>Total Restaurant One Revenue</t>
  </si>
  <si>
    <t>Restaurant One Cost Of Sales</t>
  </si>
  <si>
    <t>61100.000 . Cost of Food Sales</t>
  </si>
  <si>
    <t>61200.000 . Cost of Beverage</t>
  </si>
  <si>
    <t>Total Restaurant One Cost Of Sales</t>
  </si>
  <si>
    <t>Restaurant One Payroll</t>
  </si>
  <si>
    <t>Restaurant One Salaries &amp; Wages</t>
  </si>
  <si>
    <t>Restaurant One Payroll Expense/ Management</t>
  </si>
  <si>
    <t>62020.000 . Payroll - Restaurant One Executive Chef</t>
  </si>
  <si>
    <t>62025.000 . Payroll - Restaurant One Sous Chef</t>
  </si>
  <si>
    <t>62030.000 . Payroll - Restaurant One Manager</t>
  </si>
  <si>
    <t>Total Restaurant One Payroll Expense/ Management</t>
  </si>
  <si>
    <t>Restaurant One Non-Management</t>
  </si>
  <si>
    <t>62100.000 . Payroll - Restaurant One Server</t>
  </si>
  <si>
    <t>62150.000 . Payroll - Restaurant One Cook</t>
  </si>
  <si>
    <t>62170.000 . Payroll - Restaurant One Dishwasher</t>
  </si>
  <si>
    <t>Total Restaurant One Non-Management</t>
  </si>
  <si>
    <t>Total Restaurant One Salaries &amp; Wages</t>
  </si>
  <si>
    <t>Restaurant One Taxes &amp; Benefits</t>
  </si>
  <si>
    <t>62250.000 . Payroll Taxes</t>
  </si>
  <si>
    <t>62300.000 . Workers Compensation</t>
  </si>
  <si>
    <t>62400.000 . Employee Benefits - Insurance</t>
  </si>
  <si>
    <t>62401.000 . Employee Benefits - Vacation Pay</t>
  </si>
  <si>
    <t>62402.000 . Employee Benefits - Sick Pay</t>
  </si>
  <si>
    <t>62403.000 . Employee Benefits - Holiday Pay</t>
  </si>
  <si>
    <t>Total Restaurant One Taxes &amp; Benefits</t>
  </si>
  <si>
    <t>Total Restaurant One Payroll</t>
  </si>
  <si>
    <t>63050.000 . Cleaning Supplies</t>
  </si>
  <si>
    <t>63300.000 . Equipment Rental</t>
  </si>
  <si>
    <t>63330.000 . Utensils</t>
  </si>
  <si>
    <t>63400.000 . Kitchen Fuel</t>
  </si>
  <si>
    <t>63450.000 . Kitchen Smallwares</t>
  </si>
  <si>
    <t>63500.000 . Licenses &amp; Permits</t>
  </si>
  <si>
    <t>63570.000 . Music &amp; Entertainment</t>
  </si>
  <si>
    <t>63580.000 . Operating Supplies</t>
  </si>
  <si>
    <t>63600.000 . Paper &amp; Plastics</t>
  </si>
  <si>
    <t>63700.000 . Printing &amp; Stationary</t>
  </si>
  <si>
    <t>63800.000 . Training</t>
  </si>
  <si>
    <t>63880.000 . Uniforms</t>
  </si>
  <si>
    <t>Total Restaurant One Expenses</t>
  </si>
  <si>
    <t>Total Restaurant One Profit/(Loss)</t>
  </si>
  <si>
    <t>Banquet &amp; Catering</t>
  </si>
  <si>
    <t>Banquet Food Revenue - Breakfast</t>
  </si>
  <si>
    <t>Banquet Food Revenue - Breakfast Avg CK</t>
  </si>
  <si>
    <t>Banquet Food Revenue - Coffee Break</t>
  </si>
  <si>
    <t>Banquet Food Revenue - Coffee Break Avg CK</t>
  </si>
  <si>
    <t>Banquet Food Revenue - Dinner</t>
  </si>
  <si>
    <t>Banquet Food Revenue - Dinner Avg CK</t>
  </si>
  <si>
    <t>Banquet Food Revenue - Lunch</t>
  </si>
  <si>
    <t>Banquet Food Revenue - Lunch Avg CK</t>
  </si>
  <si>
    <t>Restaurant One - Food Sales - Breakfast</t>
  </si>
  <si>
    <t>Restaurant One - Food Sales - Breakfast Avg CK</t>
  </si>
  <si>
    <t>Restaurant One - Food Sales - Lunch</t>
  </si>
  <si>
    <t>Restaurant One - Food Sales - Lunch Avg CK</t>
  </si>
  <si>
    <t>Restaurant Two</t>
  </si>
  <si>
    <t>Restaurant Two Revenue</t>
  </si>
  <si>
    <t>170500.000 . Restaurant Two - Starbucks</t>
  </si>
  <si>
    <t>170990.000 . Restaurant Two - Food Allowances</t>
  </si>
  <si>
    <t>Total Restaurant Two Revenue</t>
  </si>
  <si>
    <t>Restaurant Two Cost Of Sales</t>
  </si>
  <si>
    <t>171100.000 . Restaurant Two - Cost of Food Sales</t>
  </si>
  <si>
    <t>Total Restaurant Two Cost Of Sales</t>
  </si>
  <si>
    <t>Restaurant Two Payroll</t>
  </si>
  <si>
    <t>Restaurant Two Salaries &amp; Wages</t>
  </si>
  <si>
    <t>Restaurant Two Expense/Management</t>
  </si>
  <si>
    <t>172030.000 . Payroll - Restaurant Two Restaurant Manager</t>
  </si>
  <si>
    <t>Total Restaurant Two Expense/Management</t>
  </si>
  <si>
    <t>Restaurant Two Non-Management</t>
  </si>
  <si>
    <t>172105.000 . Payroll - Restaurant Two Server</t>
  </si>
  <si>
    <t>Total Restaurant Two Non-Management</t>
  </si>
  <si>
    <t>Total Restaurant Two Salaries &amp; Wages</t>
  </si>
  <si>
    <t>Restaurant Two Taxes &amp; Benefits</t>
  </si>
  <si>
    <t>172250.000 . Payroll Taxes</t>
  </si>
  <si>
    <t>172300.000 . Workers Compensation</t>
  </si>
  <si>
    <t>172400.000 . Employee Benefits - Insurance</t>
  </si>
  <si>
    <t>172401.000 . Employee Benefits - Vacation Pay</t>
  </si>
  <si>
    <t>172402.000 . Employee Benefits - Sick Pay</t>
  </si>
  <si>
    <t>172403.000 . Employee Benefits - Holiday Pay</t>
  </si>
  <si>
    <t>Total Restaurant Two Taxes &amp; Benefits</t>
  </si>
  <si>
    <t>Total Restaurant Two Payroll</t>
  </si>
  <si>
    <t>173050.000 . Cleaning Supplies</t>
  </si>
  <si>
    <t>173450.000 . Kitchen Smallwares</t>
  </si>
  <si>
    <t>173500.000 . Licenses &amp; Permits</t>
  </si>
  <si>
    <t>173550.000 . Equipment Repair</t>
  </si>
  <si>
    <t>173580.000 . Operating Supplies</t>
  </si>
  <si>
    <t>173600.000 . Paper &amp; Plastics</t>
  </si>
  <si>
    <t>173760.000 . Royalty Fees</t>
  </si>
  <si>
    <t>173800.000 . Training</t>
  </si>
  <si>
    <t>173880.000 . Uniforms</t>
  </si>
  <si>
    <t>Total Restaurant Two Expenses</t>
  </si>
  <si>
    <t>Total Restaurant Two Profit/(Loss)</t>
  </si>
  <si>
    <t>Lounge Department</t>
  </si>
  <si>
    <t>Lounge Department Revenue</t>
  </si>
  <si>
    <t>Lounge Food Revenue</t>
  </si>
  <si>
    <t>180070.000 . Lounge - Food Sales - Dinner</t>
  </si>
  <si>
    <t>Total Lounge Food Revenue</t>
  </si>
  <si>
    <t>Lounge Beverage Revenue</t>
  </si>
  <si>
    <t>180150.000 . Lounge - Beverage Sales - Beer</t>
  </si>
  <si>
    <t>180200.000 . Lounge - Beverage Sales - Wine</t>
  </si>
  <si>
    <t>180300.000 . Lounge - Beverage Sales - Liqour</t>
  </si>
  <si>
    <t>Total Lounge Beverage Revenue</t>
  </si>
  <si>
    <t>Total Lounge Department Revenue</t>
  </si>
  <si>
    <t>Lounge Department Cost Of Sales</t>
  </si>
  <si>
    <t>181150.000 . Lounge - Cost of Food Sales</t>
  </si>
  <si>
    <t>181200.000 . Lounge - Cost of Beverage</t>
  </si>
  <si>
    <t>Total Lounge Department Cost Of Sales</t>
  </si>
  <si>
    <t>Lounge Payroll</t>
  </si>
  <si>
    <t>Lounge Salaries &amp; Wages</t>
  </si>
  <si>
    <t>Lounge Non-Management</t>
  </si>
  <si>
    <t>182105.000 . Payroll - Lounge Server</t>
  </si>
  <si>
    <t>182120.000 . Payroll - Lounge Bartender</t>
  </si>
  <si>
    <t>Total Lounge Non-Management</t>
  </si>
  <si>
    <t>Total Lounge Salaries &amp; Wages</t>
  </si>
  <si>
    <t>Lounge Payroll Taxes &amp; Benefits</t>
  </si>
  <si>
    <t>182220.000 . Bonus &amp; Incentives</t>
  </si>
  <si>
    <t>182250.000 . Payroll Taxes</t>
  </si>
  <si>
    <t>182300.000 . Workers Compensation</t>
  </si>
  <si>
    <t>182400.000 . Employee Benefits- Insurance</t>
  </si>
  <si>
    <t>182401.000 . Employee Benefits - Vacation Pay</t>
  </si>
  <si>
    <t>182402.000 . Employee Benefits - Sick Pay</t>
  </si>
  <si>
    <t>182403.000 . Employee Benefits - Holiday Pay</t>
  </si>
  <si>
    <t>Total Lounge Payroll Taxes &amp; Benefits</t>
  </si>
  <si>
    <t>Total Lounge Payroll</t>
  </si>
  <si>
    <t>183020.000 . China</t>
  </si>
  <si>
    <t>183420.000 . Kitchen Fuel</t>
  </si>
  <si>
    <t>183530.000 . Menus</t>
  </si>
  <si>
    <t>183570.000 . Music &amp; Entertainment</t>
  </si>
  <si>
    <t>183580.000 . Operating Supplies</t>
  </si>
  <si>
    <t>183800.000 . Training</t>
  </si>
  <si>
    <t>183880.000 . Uniforms</t>
  </si>
  <si>
    <t>Total Lounge Department Expenses</t>
  </si>
  <si>
    <t>Total Lounge Department Profit/(Loss)</t>
  </si>
  <si>
    <t>Lounge Revenue</t>
  </si>
  <si>
    <t>Lounge - Food Sales - Dinner</t>
  </si>
  <si>
    <t>Lounge - Food Sales - Dinner Avg CK</t>
  </si>
  <si>
    <t>Room Service Department</t>
  </si>
  <si>
    <t>Room Service Department Revenue</t>
  </si>
  <si>
    <t>Room Service Food Revenue</t>
  </si>
  <si>
    <t>200050.000 . Room Service - Food Sales - Breakfast</t>
  </si>
  <si>
    <t>200060.000 . Room Service - Food Sales - Lunch</t>
  </si>
  <si>
    <t>200070.000 . Room Service - Food Sales - Dinner</t>
  </si>
  <si>
    <t>Total Room Service Food Revenue</t>
  </si>
  <si>
    <t>Room Service Beverage Revenue</t>
  </si>
  <si>
    <t>200150.000 . Room Service - Beverage Sales - Beer</t>
  </si>
  <si>
    <t>200200.000 . Room Service - Beverage Sales - Wine</t>
  </si>
  <si>
    <t>200300.000 . Room Service - Beverage Sales - Liqour</t>
  </si>
  <si>
    <t>Total Room Service Beverage Revenue</t>
  </si>
  <si>
    <t>Room Service Other Revenue</t>
  </si>
  <si>
    <t>200600.000 . Room Service Service Charge</t>
  </si>
  <si>
    <t>Total Room Service Other Revenue</t>
  </si>
  <si>
    <t>Total Room Service Department Revenue</t>
  </si>
  <si>
    <t>Room Service Department Cost Of Sales</t>
  </si>
  <si>
    <t>201150.000 . Room Service - Cost of Food Sales</t>
  </si>
  <si>
    <t>201200.000 . Room Service - Cost of Beverage</t>
  </si>
  <si>
    <t>Total Room Service Department Cost Of Sales</t>
  </si>
  <si>
    <t>Room Service Payroll</t>
  </si>
  <si>
    <t>Room Service Salaries &amp; Wages</t>
  </si>
  <si>
    <t>Room Service Non-Management</t>
  </si>
  <si>
    <t>202180.000 . Payroll - Room Service Bus Help</t>
  </si>
  <si>
    <t>Total Room Service Non-Management</t>
  </si>
  <si>
    <t>Total Room Service Salaries &amp; Wages</t>
  </si>
  <si>
    <t>Room Service Taxes &amp; Benefits</t>
  </si>
  <si>
    <t>202250.000 . Payroll Taxes</t>
  </si>
  <si>
    <t>202300.000 . Workers Compensation</t>
  </si>
  <si>
    <t>202400.000 . Employee Benefits - Insurance</t>
  </si>
  <si>
    <t>202401.000 . Employee Benefits - Vacation Pay</t>
  </si>
  <si>
    <t>202403.000 . Employee Benefits - Holiday Pay</t>
  </si>
  <si>
    <t>Total Room Service Taxes &amp; Benefits</t>
  </si>
  <si>
    <t>Total Room Service Payroll</t>
  </si>
  <si>
    <t>Total Room Service Department Expenses</t>
  </si>
  <si>
    <t>Total Room Service Department Profit/(Loss)</t>
  </si>
  <si>
    <t>Room Service Revenue</t>
  </si>
  <si>
    <t>Room Service - Food Sales - Breakfast</t>
  </si>
  <si>
    <t>Room Service - Food Sales - Breakfast Avg CK</t>
  </si>
  <si>
    <t>Room Service - Food Sales - Dinner</t>
  </si>
  <si>
    <t>Room Service - Food Sales - Dinner Avg CK</t>
  </si>
  <si>
    <t>Room Service - Food Sales - Lunch</t>
  </si>
  <si>
    <t>Room Service - Food Sales - Lunch Avg CK</t>
  </si>
  <si>
    <t>Gift Shop Department</t>
  </si>
  <si>
    <t>Gift Shop Department Revenue</t>
  </si>
  <si>
    <t>190005.000 . Gift Shop Revenue</t>
  </si>
  <si>
    <t>Total Gift Shop Department Revenue</t>
  </si>
  <si>
    <t>Gift Shop Department Cost Of Sales</t>
  </si>
  <si>
    <t>191000.000 . Gift Shop - Cost of Sales</t>
  </si>
  <si>
    <t>191300.000 . Gift Shop Cost of Sales</t>
  </si>
  <si>
    <t>Total Gift Shop Department Cost Of Sales</t>
  </si>
  <si>
    <t>Total Gift Shop Department Expenses</t>
  </si>
  <si>
    <t>Total Gift Shop Department Profit/(Loss)</t>
  </si>
  <si>
    <t>Minor Operated Departments</t>
  </si>
  <si>
    <t>Minor Operated Departments Revenue</t>
  </si>
  <si>
    <t>65130.000 . Guest Laundry/Dry Cleaning Income</t>
  </si>
  <si>
    <t>65140.000 . Movie Rental Income</t>
  </si>
  <si>
    <t>65160.000 . Parking Income</t>
  </si>
  <si>
    <t>Total Minor Operated Departments Revenue</t>
  </si>
  <si>
    <t>Minor Operated Departments Expense</t>
  </si>
  <si>
    <t>66130.000 . Guest Laundry/Dry Cleaning Expense</t>
  </si>
  <si>
    <t>66140.000 . Movie Rental Expense</t>
  </si>
  <si>
    <t>66160.000 . Parking Expense</t>
  </si>
  <si>
    <t>Total Minor Operated Departments Expense</t>
  </si>
  <si>
    <t>Minor Operated Departments Profit</t>
  </si>
  <si>
    <t>Guest Laundry/Dry Cleaning Profit</t>
  </si>
  <si>
    <t>Movie Rental Profit</t>
  </si>
  <si>
    <t>Parking Profit</t>
  </si>
  <si>
    <t>Total Minor Operated Departments Profit</t>
  </si>
  <si>
    <t>Miscellaneous Income Revenue</t>
  </si>
  <si>
    <t>70100.000 . Miscellaneous</t>
  </si>
  <si>
    <t>70105.000 . Attrition Fees</t>
  </si>
  <si>
    <t>70200.000 . Cancellation Fees</t>
  </si>
  <si>
    <t>70250.000 . Cash Discounts Earned</t>
  </si>
  <si>
    <t>70300.000 . Pet Fees</t>
  </si>
  <si>
    <t>70325.000 . Smoking Fees</t>
  </si>
  <si>
    <t>70330.000 . Internet Income</t>
  </si>
  <si>
    <t>70350.000 . Telephone Income</t>
  </si>
  <si>
    <t>70360.000 . Commissions</t>
  </si>
  <si>
    <t>Total Miscellaneous Income Revenue</t>
  </si>
  <si>
    <t>Administrative &amp; General Cost Of Sales</t>
  </si>
  <si>
    <t>A &amp; G Payroll</t>
  </si>
  <si>
    <t>A &amp; G Salaries &amp; Wages</t>
  </si>
  <si>
    <t>A &amp; G Payroll Expense/ Management</t>
  </si>
  <si>
    <t>82020.000 . Payroll - General Manager</t>
  </si>
  <si>
    <t>82025.000 . Payroll - Director of Operations / Controller</t>
  </si>
  <si>
    <t>Total A &amp; G Payroll Expense/ Management</t>
  </si>
  <si>
    <t>A &amp; G Non-Management</t>
  </si>
  <si>
    <t>82040.000 . Payroll - Accounting</t>
  </si>
  <si>
    <t>82050.000 . Payroll - Human Resources</t>
  </si>
  <si>
    <t>82070.000 . Payroll - Security</t>
  </si>
  <si>
    <t>Total A &amp; G Non-Management</t>
  </si>
  <si>
    <t>Total A &amp; G Salaries &amp; Wages</t>
  </si>
  <si>
    <t>A &amp; G Payroll Taxes &amp; Benefits</t>
  </si>
  <si>
    <t>82220.000 . Bonus &amp; Incentives</t>
  </si>
  <si>
    <t>82250.000 . Payroll Taxes</t>
  </si>
  <si>
    <t>82300.000 . Workers Compensation</t>
  </si>
  <si>
    <t>82400.000 . Employee Benefits - Insurance</t>
  </si>
  <si>
    <t>82401.000 . Employee Benefits - Vacation Pay</t>
  </si>
  <si>
    <t>82402.000 . Employee Benefits - Sick Pay</t>
  </si>
  <si>
    <t>82403.000 . Employee Benefits - Holiday Pay</t>
  </si>
  <si>
    <t>Total A &amp; G Payroll Taxes &amp; Benefits</t>
  </si>
  <si>
    <t>Total A &amp; G Payroll</t>
  </si>
  <si>
    <t>83040.000 . Human Resources</t>
  </si>
  <si>
    <t>83050.000 . Bank Service Charges</t>
  </si>
  <si>
    <t>83070.000 . Cash Overage/Shortage</t>
  </si>
  <si>
    <t>83080.000 . Centralized Accounting Charges</t>
  </si>
  <si>
    <t>83200.000 . Credit Card Commissions</t>
  </si>
  <si>
    <t>83245.000 . Credit &amp; Collections</t>
  </si>
  <si>
    <t>83255.000 . Donations</t>
  </si>
  <si>
    <t>83460.000 . Legal Fees – Outside</t>
  </si>
  <si>
    <t>83500.000 . Licenses &amp; Permits</t>
  </si>
  <si>
    <t>83580.000 . Operating Supplies</t>
  </si>
  <si>
    <t>83600.000 . Payroll Processing</t>
  </si>
  <si>
    <t>83650.000 . Postage &amp; Delivery Charges</t>
  </si>
  <si>
    <t>83710.000 . Professional Fees</t>
  </si>
  <si>
    <t>83750.000 . Security</t>
  </si>
  <si>
    <t>83810.000 . Travel - Meals &amp; Entertainment</t>
  </si>
  <si>
    <t>83880.000 . Uniforms</t>
  </si>
  <si>
    <t>83920.000 . Employee Meals</t>
  </si>
  <si>
    <t>Total Administrative &amp; General Cost Of Sales</t>
  </si>
  <si>
    <t>Total Administrative &amp; General Expenses</t>
  </si>
  <si>
    <t>Information &amp; Telecom System Cost Of Sales</t>
  </si>
  <si>
    <t>I &amp; T Payroll</t>
  </si>
  <si>
    <t>I &amp; T Salaries &amp; Wages</t>
  </si>
  <si>
    <t>92000.000 . I &amp; T Expense</t>
  </si>
  <si>
    <t>92010.000 . Payroll - PBX Operator</t>
  </si>
  <si>
    <t>Total I &amp; T Salaries &amp; Wages</t>
  </si>
  <si>
    <t>I &amp; T Taxes &amp; Benefits</t>
  </si>
  <si>
    <t>92250.000 . Payroll Taxes</t>
  </si>
  <si>
    <t>92300.000 . Workers Compensation</t>
  </si>
  <si>
    <t>92400.000 . Employee Benefits - Insurance</t>
  </si>
  <si>
    <t>Total I &amp; T Taxes &amp; Benefits</t>
  </si>
  <si>
    <t>Total I &amp; T Payroll</t>
  </si>
  <si>
    <t>I &amp; T System Expense</t>
  </si>
  <si>
    <t>93004.000 . Rooms Systems</t>
  </si>
  <si>
    <t>Total I &amp; T System Expense</t>
  </si>
  <si>
    <t>93012.000 . Property Operations &amp; Maintenance</t>
  </si>
  <si>
    <t>Total Information &amp; Telecom System Cost Of Sales</t>
  </si>
  <si>
    <t>91010.000 . Cost of Internet Services</t>
  </si>
  <si>
    <t>91020.000 . Cost of Local Calls</t>
  </si>
  <si>
    <t>91030.000 . Cost of Long Distance Calls</t>
  </si>
  <si>
    <t>Total Information &amp; Telecom System Expenses</t>
  </si>
  <si>
    <t>Sales &amp; Marketing Cost Of Sales</t>
  </si>
  <si>
    <t>Sales &amp; Marketing Payroll</t>
  </si>
  <si>
    <t>Sales &amp; Marketing Salary &amp; Wages</t>
  </si>
  <si>
    <t>S &amp; M Payroll Expense/Management</t>
  </si>
  <si>
    <t>102008.000 . Payroll - Director of Sales</t>
  </si>
  <si>
    <t>Total S &amp; M Payroll Expense/Management</t>
  </si>
  <si>
    <t>S &amp; M Non-Management</t>
  </si>
  <si>
    <t>102050.000 . Payroll - Sales Manager</t>
  </si>
  <si>
    <t>Total S &amp; M Non-Management</t>
  </si>
  <si>
    <t>Total Sales &amp; Marketing Salary &amp; Wages</t>
  </si>
  <si>
    <t>S &amp; M Taxes &amp; Benefits</t>
  </si>
  <si>
    <t>102220.000 . Bonus &amp; Incentives</t>
  </si>
  <si>
    <t>102250.000 . Payroll Taxes</t>
  </si>
  <si>
    <t>102300.000 . Workers Compensation</t>
  </si>
  <si>
    <t>102400.000 . Employee Benefits - Insurance</t>
  </si>
  <si>
    <t>102401.000 . Employee Benefits - Vacation Pay</t>
  </si>
  <si>
    <t>102402.000 . Employee Benefits - Sick Pay</t>
  </si>
  <si>
    <t>102403.000 . Employee Benefits - Holiday Pay</t>
  </si>
  <si>
    <t>Total S &amp; M Taxes &amp; Benefits</t>
  </si>
  <si>
    <t>Total Sales &amp; Marketing Payroll</t>
  </si>
  <si>
    <t>103150.000 . Complimentary Service &amp; Gifts</t>
  </si>
  <si>
    <t>103250.000 . Decorations</t>
  </si>
  <si>
    <t>103260.000 . Dues &amp; Subscriptions</t>
  </si>
  <si>
    <t>103420.000 . Sales and Marketing</t>
  </si>
  <si>
    <t>103580.000 . Operating Supplies</t>
  </si>
  <si>
    <t>103610.000 . Outside Services Market Research</t>
  </si>
  <si>
    <t>103650.000 . Postage &amp; Delivery Charges</t>
  </si>
  <si>
    <t>103700.000 . Promotion</t>
  </si>
  <si>
    <t>103750.000 . Trade Shows</t>
  </si>
  <si>
    <t>103800.000 . Training</t>
  </si>
  <si>
    <t>103850.000 . Travel - Meals &amp; Entertainment</t>
  </si>
  <si>
    <t>103910.000 . Uniform - Laundry</t>
  </si>
  <si>
    <t>Total Sales &amp; Marketing Cost Of Sales</t>
  </si>
  <si>
    <t>Total Sales &amp; Marketing Expenses</t>
  </si>
  <si>
    <t>Franchise &amp; Affiliation Cost Of Sales</t>
  </si>
  <si>
    <t>103010.000 . Franchise &amp; Affiliation Marketing</t>
  </si>
  <si>
    <t>103020.000 . Franchise &amp; Affiliation Marketing - Royalties</t>
  </si>
  <si>
    <t>103030.000 . Loyalty Programs</t>
  </si>
  <si>
    <t>103040.000 . Franchise Invoice Commissions</t>
  </si>
  <si>
    <t>Total Franchise &amp; Affiliation Cost Of Sales</t>
  </si>
  <si>
    <t>Total Franchise &amp; Affiliation Expenses</t>
  </si>
  <si>
    <t>Property Operations &amp; Maintenance Cost Of Sales</t>
  </si>
  <si>
    <t>POM Payroll</t>
  </si>
  <si>
    <t>POM Salary &amp; Wages</t>
  </si>
  <si>
    <t>POM Payroll Expense/Management</t>
  </si>
  <si>
    <t>112005.000 . Payroll - Chief Engineer</t>
  </si>
  <si>
    <t>Total POM Payroll Expense/Management</t>
  </si>
  <si>
    <t>POM Non-Management</t>
  </si>
  <si>
    <t>112030.000 . Payroll - Engineers</t>
  </si>
  <si>
    <t>Total POM Non-Management</t>
  </si>
  <si>
    <t>Total POM Salary &amp; Wages</t>
  </si>
  <si>
    <t>POM Taxes &amp; Benefits</t>
  </si>
  <si>
    <t>112220.000 . Bonus &amp; Incentives</t>
  </si>
  <si>
    <t>112250.000 . Payroll Taxes</t>
  </si>
  <si>
    <t>112300.000 . Workers Compensation</t>
  </si>
  <si>
    <t>112400.000 . Employee Benefits - Insurance</t>
  </si>
  <si>
    <t>112401.000 . Employee Benefits - Vacation Pay</t>
  </si>
  <si>
    <t>112402.000 . Employee Benefits - Sick Pay</t>
  </si>
  <si>
    <t>112403.000 . Employee Benefits - Holiday Pay</t>
  </si>
  <si>
    <t>Total POM Taxes &amp; Benefits</t>
  </si>
  <si>
    <t>Total POM Payroll</t>
  </si>
  <si>
    <t>113050.000 . Building</t>
  </si>
  <si>
    <t>113240.000 . Contract Services</t>
  </si>
  <si>
    <t>113265.000 . Electrical &amp; Mechanical Equipment</t>
  </si>
  <si>
    <t>113280.000 . Elevators</t>
  </si>
  <si>
    <t>113290.000 . Engineering Supplies</t>
  </si>
  <si>
    <t>113300.000 . Equipment Rental</t>
  </si>
  <si>
    <t>113320.000 . Floor Covering</t>
  </si>
  <si>
    <t>113350.000 . Furniture &amp; Equipment</t>
  </si>
  <si>
    <t>113380.000 . Grounds Maintenance &amp; Landscaping</t>
  </si>
  <si>
    <t>113400.000 . HVAC Repairs</t>
  </si>
  <si>
    <t>113450.000 . Kitchen Equipment</t>
  </si>
  <si>
    <t>113480.000 . Laundry Equipment</t>
  </si>
  <si>
    <t>113500.000 . Licenses &amp; Permits</t>
  </si>
  <si>
    <t>113505.000 . Life/Safety</t>
  </si>
  <si>
    <t>113510.000 . Light Bulbs</t>
  </si>
  <si>
    <t>113550.000 . Miscellaneous</t>
  </si>
  <si>
    <t>113580.000 . Operating Supplies</t>
  </si>
  <si>
    <t>113620.000 . Painting &amp; Decorating</t>
  </si>
  <si>
    <t>113650.000 . Plumbing</t>
  </si>
  <si>
    <t>113750.000 . Swimming Pool</t>
  </si>
  <si>
    <t>113810.000 . Signage</t>
  </si>
  <si>
    <t>113830.000 . Vacuum Cleaners</t>
  </si>
  <si>
    <t>113835.000 . Refrigerators</t>
  </si>
  <si>
    <t>113845.000 . Telephones</t>
  </si>
  <si>
    <t>113860.000 . Irons &amp; Iron boards</t>
  </si>
  <si>
    <t>113910.000 . Uniforms</t>
  </si>
  <si>
    <t>113951.000 . Pest Control</t>
  </si>
  <si>
    <t>Total Property Operations &amp; Maintenance Cost Of Sales</t>
  </si>
  <si>
    <t>Total Property Operations &amp; Maintenance Expenses</t>
  </si>
  <si>
    <t>Utilities Cost Of Sales</t>
  </si>
  <si>
    <t>123005.000 . Electricity</t>
  </si>
  <si>
    <t>123100.000 . Water &amp; Sewer</t>
  </si>
  <si>
    <t>123150.000 . Gas &amp; Oil</t>
  </si>
  <si>
    <t>123155.000 . Other Fuels</t>
  </si>
  <si>
    <t>123160.000 . Waste Removal</t>
  </si>
  <si>
    <t>Total Utilities Cost Of Sales</t>
  </si>
  <si>
    <t>Total Utilities Expenses</t>
  </si>
  <si>
    <t>CAM and Lease Expense Cost Of Sales</t>
  </si>
  <si>
    <t>153000.000 . CAM and Lease Expense</t>
  </si>
  <si>
    <t>153100.000 . Lease - Other Property and Equipment</t>
  </si>
  <si>
    <t>Total CAM and Lease Expense Cost Of Sales</t>
  </si>
  <si>
    <t>Total CAM and Lease Expense Expenses</t>
  </si>
  <si>
    <t>Management Fees Cost Of Sales</t>
  </si>
  <si>
    <t>143025.000 . Incentive Fees</t>
  </si>
  <si>
    <t>143100.000 . Asset Management Fees</t>
  </si>
  <si>
    <t>Total Management Fees Cost Of Sales</t>
  </si>
  <si>
    <t>Total Management Fees Expenses</t>
  </si>
  <si>
    <t>Property &amp; Other Taxes Cost Of Sales</t>
  </si>
  <si>
    <t>153450.000 . Real Estate Taxes</t>
  </si>
  <si>
    <t>153500.000 . Personal Property Taxes</t>
  </si>
  <si>
    <t>153550.000 . Franchise tax</t>
  </si>
  <si>
    <t>Total Property &amp; Other Taxes Cost Of Sales</t>
  </si>
  <si>
    <t>Total Property &amp; Other Taxes Expenses</t>
  </si>
  <si>
    <t>Insurance Cost Of Sales</t>
  </si>
  <si>
    <t>153810.000 . Building Insurance</t>
  </si>
  <si>
    <t>153850.000 . Liability Insurance</t>
  </si>
  <si>
    <t>153851.000 . General Liability Insurance</t>
  </si>
  <si>
    <t>153852.000 . Auto Insurance</t>
  </si>
  <si>
    <t>153854.000 . Claim Handling Fee</t>
  </si>
  <si>
    <t>Total Insurance Cost Of Sales</t>
  </si>
  <si>
    <t>Total Insurance Expenses</t>
  </si>
  <si>
    <t>Other Non-Operating Exp Cost Of Sales</t>
  </si>
  <si>
    <t>41000.000 . Prior Period Expense</t>
  </si>
  <si>
    <t>Total Other Non-Operating Exp Cost Of Sales</t>
  </si>
  <si>
    <t>Total Other Non-Operating Exp Expenses</t>
  </si>
  <si>
    <t>Non-Operating Income Revenue</t>
  </si>
  <si>
    <t>210100.000 . Interest Income</t>
  </si>
  <si>
    <t>210101.000 . Prior Period Income</t>
  </si>
  <si>
    <t>210300.000 . Other Non-Recurring Income</t>
  </si>
  <si>
    <t>210320.000 . Employee Retention Credit</t>
  </si>
  <si>
    <t>Total Non-Operating Income Revenue</t>
  </si>
  <si>
    <t>Interest Expense Cost Of Sales</t>
  </si>
  <si>
    <t>153200.000 . Mortgage Interest Expense</t>
  </si>
  <si>
    <t>153210.000 . Interest Expense</t>
  </si>
  <si>
    <t>Total Interest Expense Cost Of Sales</t>
  </si>
  <si>
    <t>Total Interest Expense Expenses</t>
  </si>
  <si>
    <t>Depreciation &amp; Amortization Cost Of Sales</t>
  </si>
  <si>
    <t>154100.000 . Depreciation</t>
  </si>
  <si>
    <t>154200.000 . Amortization Expense</t>
  </si>
  <si>
    <t>Total Depreciation &amp; Amortization Cost Of Sales</t>
  </si>
  <si>
    <t>Total Depreciation &amp; Amortization Expenses</t>
  </si>
  <si>
    <t>Test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</si>
</sst>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%;\-#,##0.00%"/>
  </numFmts>
  <fonts count="4" x14ac:knownFonts="1">
    <font>
      <sz val="11"/>
      <color theme="1"/>
      <name val="Calibri"/>
    </font>
    <font>
      <sz val="8"/>
      <color theme="1"/>
      <name val="Verdana"/>
    </font>
    <font>
      <b/>
      <sz val="9"/>
      <color theme="1"/>
      <name val="Verdana"/>
    </font>
    <font>
      <b/>
      <sz val="8"/>
      <color theme="1"/>
      <name val="Verdan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10101"/>
      </top>
      <bottom style="thin">
        <color rgb="FF010101"/>
      </bottom>
      <diagonal/>
    </border>
    <border>
      <left style="thin">
        <color rgb="FF010101"/>
      </left>
      <right/>
      <top style="thin">
        <color rgb="FF010101"/>
      </top>
      <bottom style="thin">
        <color rgb="FF010101"/>
      </bottom>
      <diagonal/>
    </border>
    <border>
      <left/>
      <right/>
      <top/>
      <bottom style="thin">
        <color rgb="FF010101"/>
      </bottom>
      <diagonal/>
    </border>
    <border>
      <left/>
      <right style="thin">
        <color rgb="FF010101"/>
      </right>
      <top/>
      <bottom style="thin">
        <color rgb="FF010101"/>
      </bottom>
      <diagonal/>
    </border>
    <border>
      <left/>
      <right/>
      <top/>
      <bottom style="double">
        <color rgb="FF0101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3" xfId="0" applyFont="1" applyBorder="1"/>
    <xf numFmtId="166" fontId="3" fillId="0" borderId="0" xfId="0" applyNumberFormat="1" applyFont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3" fillId="0" borderId="0" xfId="0" applyFont="1" applyAlignment="1">
      <alignment wrapText="1" indent="1"/>
    </xf>
    <xf numFmtId="0" fontId="1" fillId="0" borderId="0" xfId="0" applyFont="1" applyAlignment="1">
      <alignment wrapText="1" indent="1"/>
    </xf>
    <xf numFmtId="164" fontId="1" fillId="0" borderId="0" xfId="0" applyNumberFormat="1" applyFont="1"/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06"/>
  <sheetViews>
    <sheetView showGridLines="0" tabSelected="1" zoomScaleNormal="100" workbookViewId="0">
      <pane xSplit="1" ySplit="7" topLeftCell="B8" activePane="bottomRight" state="frozen"/>
      <selection pane="topRight"/>
      <selection pane="bottomLeft"/>
      <selection pane="bottomRight" activeCell="G16" sqref="G16"/>
    </sheetView>
  </sheetViews>
  <sheetFormatPr defaultColWidth="0" defaultRowHeight="10.199999999999999" x14ac:dyDescent="0.2"/>
  <cols>
    <col min="1" max="1" width="57.109375" style="1" customWidth="1"/>
    <col min="2" max="13" width="12.109375" style="2" customWidth="1"/>
    <col min="14" max="14" width="18.6640625" style="2" customWidth="1"/>
    <col min="15" max="15" width="0" style="2" hidden="1" customWidth="1"/>
    <col min="16" max="16384" width="0" style="2" hidden="1"/>
  </cols>
  <sheetData>
    <row r="1" spans="1:14" ht="11.4" x14ac:dyDescent="0.2">
      <c r="A1" s="21" t="s">
        <v>664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1.4" x14ac:dyDescent="0.2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1.4" x14ac:dyDescent="0.2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1.4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1.4" x14ac:dyDescent="0.2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">
      <c r="A6" s="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 t="s">
        <v>4</v>
      </c>
    </row>
    <row r="7" spans="1:14" ht="15" customHeight="1" x14ac:dyDescent="0.2">
      <c r="A7" s="4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6" t="s">
        <v>17</v>
      </c>
    </row>
    <row r="8" spans="1:14" x14ac:dyDescent="0.2">
      <c r="A8" s="7" t="s">
        <v>18</v>
      </c>
    </row>
    <row r="10" spans="1:14" x14ac:dyDescent="0.2">
      <c r="A10" s="7" t="s">
        <v>19</v>
      </c>
      <c r="B10" s="8">
        <f t="shared" ref="B10:N10" si="0">B209+B214+B215+B217</f>
        <v>12028</v>
      </c>
      <c r="C10" s="8">
        <f t="shared" si="0"/>
        <v>10864</v>
      </c>
      <c r="D10" s="8">
        <f t="shared" si="0"/>
        <v>12028</v>
      </c>
      <c r="E10" s="8">
        <f t="shared" si="0"/>
        <v>11640</v>
      </c>
      <c r="F10" s="8">
        <f t="shared" si="0"/>
        <v>12028</v>
      </c>
      <c r="G10" s="8">
        <f t="shared" si="0"/>
        <v>11640</v>
      </c>
      <c r="H10" s="8">
        <f t="shared" si="0"/>
        <v>12028</v>
      </c>
      <c r="I10" s="8">
        <f t="shared" si="0"/>
        <v>12028</v>
      </c>
      <c r="J10" s="8">
        <f t="shared" si="0"/>
        <v>11640</v>
      </c>
      <c r="K10" s="8">
        <f t="shared" si="0"/>
        <v>12028</v>
      </c>
      <c r="L10" s="8">
        <f t="shared" si="0"/>
        <v>11640</v>
      </c>
      <c r="M10" s="8">
        <f t="shared" si="0"/>
        <v>12028</v>
      </c>
      <c r="N10" s="8">
        <f t="shared" si="0"/>
        <v>141620</v>
      </c>
    </row>
    <row r="11" spans="1:14" x14ac:dyDescent="0.2">
      <c r="A11" s="7" t="s">
        <v>20</v>
      </c>
      <c r="B11" s="8">
        <f t="shared" ref="B11:N11" si="1">B209</f>
        <v>6067</v>
      </c>
      <c r="C11" s="8">
        <f t="shared" si="1"/>
        <v>6803</v>
      </c>
      <c r="D11" s="8">
        <f t="shared" si="1"/>
        <v>8593</v>
      </c>
      <c r="E11" s="8">
        <f t="shared" si="1"/>
        <v>7984</v>
      </c>
      <c r="F11" s="8">
        <f t="shared" si="1"/>
        <v>6056</v>
      </c>
      <c r="G11" s="8">
        <f t="shared" si="1"/>
        <v>6875</v>
      </c>
      <c r="H11" s="8">
        <f t="shared" si="1"/>
        <v>7074</v>
      </c>
      <c r="I11" s="8">
        <f t="shared" si="1"/>
        <v>6260</v>
      </c>
      <c r="J11" s="8">
        <f t="shared" si="1"/>
        <v>7585</v>
      </c>
      <c r="K11" s="8">
        <f t="shared" si="1"/>
        <v>6254</v>
      </c>
      <c r="L11" s="8">
        <f t="shared" si="1"/>
        <v>5490</v>
      </c>
      <c r="M11" s="8">
        <f t="shared" si="1"/>
        <v>6019</v>
      </c>
      <c r="N11" s="8">
        <f t="shared" si="1"/>
        <v>81060</v>
      </c>
    </row>
    <row r="12" spans="1:14" x14ac:dyDescent="0.2">
      <c r="A12" s="7" t="s">
        <v>21</v>
      </c>
      <c r="B12" s="9">
        <f t="shared" ref="B12:N12" si="2">ROUND(IF(B10=0,0,(ROUND(B11,0) / ROUND(B10,0))*100),2)</f>
        <v>50.44</v>
      </c>
      <c r="C12" s="9">
        <f t="shared" si="2"/>
        <v>62.62</v>
      </c>
      <c r="D12" s="9">
        <f t="shared" si="2"/>
        <v>71.44</v>
      </c>
      <c r="E12" s="9">
        <f t="shared" si="2"/>
        <v>68.59</v>
      </c>
      <c r="F12" s="9">
        <f t="shared" si="2"/>
        <v>50.35</v>
      </c>
      <c r="G12" s="9">
        <f t="shared" si="2"/>
        <v>59.06</v>
      </c>
      <c r="H12" s="9">
        <f t="shared" si="2"/>
        <v>58.81</v>
      </c>
      <c r="I12" s="9">
        <f t="shared" si="2"/>
        <v>52.05</v>
      </c>
      <c r="J12" s="9">
        <f t="shared" si="2"/>
        <v>65.16</v>
      </c>
      <c r="K12" s="9">
        <f t="shared" si="2"/>
        <v>52</v>
      </c>
      <c r="L12" s="9">
        <f t="shared" si="2"/>
        <v>47.16</v>
      </c>
      <c r="M12" s="9">
        <f t="shared" si="2"/>
        <v>50.04</v>
      </c>
      <c r="N12" s="9">
        <f t="shared" si="2"/>
        <v>57.24</v>
      </c>
    </row>
    <row r="13" spans="1:14" x14ac:dyDescent="0.2">
      <c r="A13" s="7" t="s">
        <v>22</v>
      </c>
      <c r="B13" s="9">
        <v>127.55</v>
      </c>
      <c r="C13" s="9">
        <v>140.36000000000001</v>
      </c>
      <c r="D13" s="9">
        <v>159.01</v>
      </c>
      <c r="E13" s="9">
        <v>168.81</v>
      </c>
      <c r="F13" s="9">
        <v>145.94</v>
      </c>
      <c r="G13" s="9">
        <v>127.37</v>
      </c>
      <c r="H13" s="9">
        <v>114.23</v>
      </c>
      <c r="I13" s="9">
        <v>120.1</v>
      </c>
      <c r="J13" s="9">
        <v>132.74</v>
      </c>
      <c r="K13" s="9">
        <v>148.97999999999999</v>
      </c>
      <c r="L13" s="9">
        <v>137.82</v>
      </c>
      <c r="M13" s="9">
        <v>118.32</v>
      </c>
      <c r="N13" s="9">
        <v>137.79</v>
      </c>
    </row>
    <row r="14" spans="1:14" x14ac:dyDescent="0.2">
      <c r="A14" s="7" t="s">
        <v>23</v>
      </c>
      <c r="B14" s="9">
        <v>64.34</v>
      </c>
      <c r="C14" s="9">
        <v>87.89</v>
      </c>
      <c r="D14" s="9">
        <v>113.6</v>
      </c>
      <c r="E14" s="9">
        <v>115.79</v>
      </c>
      <c r="F14" s="9">
        <v>73.48</v>
      </c>
      <c r="G14" s="9">
        <v>75.23</v>
      </c>
      <c r="H14" s="9">
        <v>67.180000000000007</v>
      </c>
      <c r="I14" s="9">
        <v>62.51</v>
      </c>
      <c r="J14" s="9">
        <v>86.5</v>
      </c>
      <c r="K14" s="9">
        <v>77.459999999999994</v>
      </c>
      <c r="L14" s="9">
        <v>65</v>
      </c>
      <c r="M14" s="9">
        <v>59.21</v>
      </c>
      <c r="N14" s="9">
        <v>78.87</v>
      </c>
    </row>
    <row r="15" spans="1:14" ht="4.95" customHeight="1" x14ac:dyDescent="0.2"/>
    <row r="16" spans="1:14" x14ac:dyDescent="0.2">
      <c r="A16" s="7" t="s">
        <v>24</v>
      </c>
    </row>
    <row r="17" spans="1:14" x14ac:dyDescent="0.2">
      <c r="A17" s="1" t="s">
        <v>25</v>
      </c>
      <c r="B17" s="10">
        <f t="shared" ref="B17:N17" si="3">B122</f>
        <v>773826.04999999993</v>
      </c>
      <c r="C17" s="10">
        <f t="shared" si="3"/>
        <v>954863.37000000011</v>
      </c>
      <c r="D17" s="10">
        <f t="shared" si="3"/>
        <v>1374193.69</v>
      </c>
      <c r="E17" s="10">
        <f t="shared" si="3"/>
        <v>1347813.07</v>
      </c>
      <c r="F17" s="10">
        <f t="shared" si="3"/>
        <v>883836.72999999986</v>
      </c>
      <c r="G17" s="10">
        <f t="shared" si="3"/>
        <v>875661.1100000001</v>
      </c>
      <c r="H17" s="10">
        <f t="shared" si="3"/>
        <v>808048.55</v>
      </c>
      <c r="I17" s="10">
        <f t="shared" si="3"/>
        <v>751810.52</v>
      </c>
      <c r="J17" s="10">
        <f t="shared" si="3"/>
        <v>1006831.5</v>
      </c>
      <c r="K17" s="10">
        <f t="shared" si="3"/>
        <v>931694</v>
      </c>
      <c r="L17" s="10">
        <f t="shared" si="3"/>
        <v>756633.24</v>
      </c>
      <c r="M17" s="10">
        <f t="shared" si="3"/>
        <v>712164.78000000014</v>
      </c>
      <c r="N17" s="10">
        <f t="shared" si="3"/>
        <v>11177376.609999999</v>
      </c>
    </row>
    <row r="18" spans="1:14" x14ac:dyDescent="0.2">
      <c r="A18" s="1" t="s">
        <v>26</v>
      </c>
      <c r="B18" s="10">
        <f t="shared" ref="B18:N18" si="4">B277+B365+B461+B534+B619</f>
        <v>221844.82</v>
      </c>
      <c r="C18" s="10">
        <f t="shared" si="4"/>
        <v>251487.67</v>
      </c>
      <c r="D18" s="10">
        <f t="shared" si="4"/>
        <v>412637.34</v>
      </c>
      <c r="E18" s="10">
        <f t="shared" si="4"/>
        <v>440925.39</v>
      </c>
      <c r="F18" s="10">
        <f t="shared" si="4"/>
        <v>313662.83</v>
      </c>
      <c r="G18" s="10">
        <f t="shared" si="4"/>
        <v>274520.64</v>
      </c>
      <c r="H18" s="10">
        <f t="shared" si="4"/>
        <v>199158.58</v>
      </c>
      <c r="I18" s="10">
        <f t="shared" si="4"/>
        <v>196309.85</v>
      </c>
      <c r="J18" s="10">
        <f t="shared" si="4"/>
        <v>361150.6</v>
      </c>
      <c r="K18" s="10">
        <f t="shared" si="4"/>
        <v>514696.30000000005</v>
      </c>
      <c r="L18" s="10">
        <f t="shared" si="4"/>
        <v>398931.17000000004</v>
      </c>
      <c r="M18" s="10">
        <f t="shared" si="4"/>
        <v>322239.83000000007</v>
      </c>
      <c r="N18" s="10">
        <f t="shared" si="4"/>
        <v>3907565.0199999996</v>
      </c>
    </row>
    <row r="19" spans="1:14" x14ac:dyDescent="0.2">
      <c r="A19" s="1" t="s">
        <v>27</v>
      </c>
      <c r="B19" s="10">
        <f t="shared" ref="B19:N19" si="5">B673+B699</f>
        <v>62642.81</v>
      </c>
      <c r="C19" s="10">
        <f t="shared" si="5"/>
        <v>77627.420000000013</v>
      </c>
      <c r="D19" s="10">
        <f t="shared" si="5"/>
        <v>109952.56</v>
      </c>
      <c r="E19" s="10">
        <f t="shared" si="5"/>
        <v>88659.26</v>
      </c>
      <c r="F19" s="10">
        <f t="shared" si="5"/>
        <v>75151.11</v>
      </c>
      <c r="G19" s="10">
        <f t="shared" si="5"/>
        <v>96288.54</v>
      </c>
      <c r="H19" s="10">
        <f t="shared" si="5"/>
        <v>99440.09</v>
      </c>
      <c r="I19" s="10">
        <f t="shared" si="5"/>
        <v>103674.68000000001</v>
      </c>
      <c r="J19" s="10">
        <f t="shared" si="5"/>
        <v>122922.23999999999</v>
      </c>
      <c r="K19" s="10">
        <f t="shared" si="5"/>
        <v>85943.14</v>
      </c>
      <c r="L19" s="10">
        <f t="shared" si="5"/>
        <v>84208.839999999982</v>
      </c>
      <c r="M19" s="10">
        <f t="shared" si="5"/>
        <v>72692.86</v>
      </c>
      <c r="N19" s="10">
        <f t="shared" si="5"/>
        <v>1079203.5499999998</v>
      </c>
    </row>
    <row r="20" spans="1:14" x14ac:dyDescent="0.2">
      <c r="A20" s="1" t="s">
        <v>28</v>
      </c>
      <c r="B20" s="10">
        <f t="shared" ref="B20:N20" si="6">B738</f>
        <v>-329.41000000000008</v>
      </c>
      <c r="C20" s="10">
        <f t="shared" si="6"/>
        <v>-422.37999999999994</v>
      </c>
      <c r="D20" s="10">
        <f t="shared" si="6"/>
        <v>3016.21</v>
      </c>
      <c r="E20" s="10">
        <f t="shared" si="6"/>
        <v>-55.440000000000097</v>
      </c>
      <c r="F20" s="10">
        <f t="shared" si="6"/>
        <v>223.3600000000001</v>
      </c>
      <c r="G20" s="10">
        <f t="shared" si="6"/>
        <v>894.41</v>
      </c>
      <c r="H20" s="10">
        <f t="shared" si="6"/>
        <v>354.97</v>
      </c>
      <c r="I20" s="10">
        <f t="shared" si="6"/>
        <v>327.39</v>
      </c>
      <c r="J20" s="10">
        <f t="shared" si="6"/>
        <v>670.62</v>
      </c>
      <c r="K20" s="10">
        <f t="shared" si="6"/>
        <v>6511.5599999999995</v>
      </c>
      <c r="L20" s="10">
        <f t="shared" si="6"/>
        <v>2932.8799999999997</v>
      </c>
      <c r="M20" s="10">
        <f t="shared" si="6"/>
        <v>1898.56</v>
      </c>
      <c r="N20" s="10">
        <f t="shared" si="6"/>
        <v>16022.729999999998</v>
      </c>
    </row>
    <row r="21" spans="1:14" ht="4.95" customHeight="1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4.95" customHeight="1" x14ac:dyDescent="0.2"/>
    <row r="23" spans="1:14" x14ac:dyDescent="0.2">
      <c r="A23" s="7" t="s">
        <v>29</v>
      </c>
      <c r="B23" s="9">
        <f t="shared" ref="B23:N23" si="7">B17+B18+B19+B20</f>
        <v>1057984.27</v>
      </c>
      <c r="C23" s="9">
        <f t="shared" si="7"/>
        <v>1283556.08</v>
      </c>
      <c r="D23" s="9">
        <f t="shared" si="7"/>
        <v>1899799.8</v>
      </c>
      <c r="E23" s="9">
        <f t="shared" si="7"/>
        <v>1877342.28</v>
      </c>
      <c r="F23" s="9">
        <f t="shared" si="7"/>
        <v>1272874.03</v>
      </c>
      <c r="G23" s="9">
        <f t="shared" si="7"/>
        <v>1247364.7</v>
      </c>
      <c r="H23" s="9">
        <f t="shared" si="7"/>
        <v>1107002.19</v>
      </c>
      <c r="I23" s="9">
        <f t="shared" si="7"/>
        <v>1052122.44</v>
      </c>
      <c r="J23" s="9">
        <f t="shared" si="7"/>
        <v>1491574.9600000002</v>
      </c>
      <c r="K23" s="9">
        <f t="shared" si="7"/>
        <v>1538845</v>
      </c>
      <c r="L23" s="9">
        <f t="shared" si="7"/>
        <v>1242706.1300000001</v>
      </c>
      <c r="M23" s="9">
        <f t="shared" si="7"/>
        <v>1108996.0300000003</v>
      </c>
      <c r="N23" s="9">
        <f t="shared" si="7"/>
        <v>16180167.91</v>
      </c>
    </row>
    <row r="24" spans="1:14" ht="4.95" customHeight="1" x14ac:dyDescent="0.2"/>
    <row r="25" spans="1:14" x14ac:dyDescent="0.2">
      <c r="A25" s="7" t="s">
        <v>30</v>
      </c>
    </row>
    <row r="26" spans="1:14" x14ac:dyDescent="0.2">
      <c r="A26" s="1" t="s">
        <v>25</v>
      </c>
      <c r="B26" s="10">
        <f t="shared" ref="B26:N26" si="8">B188</f>
        <v>212216.42999999996</v>
      </c>
      <c r="C26" s="10">
        <f t="shared" si="8"/>
        <v>231176.65000000002</v>
      </c>
      <c r="D26" s="10">
        <f t="shared" si="8"/>
        <v>293029.34999999998</v>
      </c>
      <c r="E26" s="10">
        <f t="shared" si="8"/>
        <v>259724.94</v>
      </c>
      <c r="F26" s="10">
        <f t="shared" si="8"/>
        <v>224388.31999999995</v>
      </c>
      <c r="G26" s="10">
        <f t="shared" si="8"/>
        <v>242147.27000000002</v>
      </c>
      <c r="H26" s="10">
        <f t="shared" si="8"/>
        <v>225232.5</v>
      </c>
      <c r="I26" s="10">
        <f t="shared" si="8"/>
        <v>197863.36</v>
      </c>
      <c r="J26" s="10">
        <f t="shared" si="8"/>
        <v>213682.03</v>
      </c>
      <c r="K26" s="10">
        <f t="shared" si="8"/>
        <v>227993.34000000003</v>
      </c>
      <c r="L26" s="10">
        <f t="shared" si="8"/>
        <v>215149.12</v>
      </c>
      <c r="M26" s="10">
        <f t="shared" si="8"/>
        <v>199873.94</v>
      </c>
      <c r="N26" s="10">
        <f t="shared" si="8"/>
        <v>2742477.25</v>
      </c>
    </row>
    <row r="27" spans="1:14" x14ac:dyDescent="0.2">
      <c r="A27" s="1" t="s">
        <v>26</v>
      </c>
      <c r="B27" s="10">
        <f t="shared" ref="B27:N27" si="9">B341+B423+B511+B581+B651</f>
        <v>152763.48000000001</v>
      </c>
      <c r="C27" s="10">
        <f t="shared" si="9"/>
        <v>151701.35</v>
      </c>
      <c r="D27" s="10">
        <f t="shared" si="9"/>
        <v>223057.16</v>
      </c>
      <c r="E27" s="10">
        <f t="shared" si="9"/>
        <v>247256.47999999998</v>
      </c>
      <c r="F27" s="10">
        <f t="shared" si="9"/>
        <v>187132.30000000002</v>
      </c>
      <c r="G27" s="10">
        <f t="shared" si="9"/>
        <v>192360.78</v>
      </c>
      <c r="H27" s="10">
        <f t="shared" si="9"/>
        <v>178039.94</v>
      </c>
      <c r="I27" s="10">
        <f t="shared" si="9"/>
        <v>139634.91</v>
      </c>
      <c r="J27" s="10">
        <f t="shared" si="9"/>
        <v>211883.88000000003</v>
      </c>
      <c r="K27" s="10">
        <f t="shared" si="9"/>
        <v>258488.44</v>
      </c>
      <c r="L27" s="10">
        <f t="shared" si="9"/>
        <v>253878.69999999998</v>
      </c>
      <c r="M27" s="10">
        <f t="shared" si="9"/>
        <v>191973.40000000002</v>
      </c>
      <c r="N27" s="10">
        <f t="shared" si="9"/>
        <v>2388170.8199999998</v>
      </c>
    </row>
    <row r="28" spans="1:14" x14ac:dyDescent="0.2">
      <c r="A28" s="1" t="s">
        <v>27</v>
      </c>
      <c r="B28" s="10">
        <f t="shared" ref="B28:N28" si="10">B686+B708</f>
        <v>6258.41</v>
      </c>
      <c r="C28" s="10">
        <f t="shared" si="10"/>
        <v>4939.5</v>
      </c>
      <c r="D28" s="10">
        <f t="shared" si="10"/>
        <v>9257.9599999999991</v>
      </c>
      <c r="E28" s="10">
        <f t="shared" si="10"/>
        <v>6626.87</v>
      </c>
      <c r="F28" s="10">
        <f t="shared" si="10"/>
        <v>18938.910000000003</v>
      </c>
      <c r="G28" s="10">
        <f t="shared" si="10"/>
        <v>16297.73</v>
      </c>
      <c r="H28" s="10">
        <f t="shared" si="10"/>
        <v>14135.340000000002</v>
      </c>
      <c r="I28" s="10">
        <f t="shared" si="10"/>
        <v>18357.77</v>
      </c>
      <c r="J28" s="10">
        <f t="shared" si="10"/>
        <v>15128.619999999999</v>
      </c>
      <c r="K28" s="10">
        <f t="shared" si="10"/>
        <v>10936.7</v>
      </c>
      <c r="L28" s="10">
        <f t="shared" si="10"/>
        <v>12469.05</v>
      </c>
      <c r="M28" s="10">
        <f t="shared" si="10"/>
        <v>16991.010000000002</v>
      </c>
      <c r="N28" s="10">
        <f t="shared" si="10"/>
        <v>150337.87</v>
      </c>
    </row>
    <row r="29" spans="1:14" ht="4.95" customHeight="1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4.95" customHeight="1" x14ac:dyDescent="0.2"/>
    <row r="31" spans="1:14" x14ac:dyDescent="0.2">
      <c r="A31" s="7" t="s">
        <v>31</v>
      </c>
      <c r="B31" s="9">
        <f t="shared" ref="B31:N31" si="11">B26+B27+B28</f>
        <v>371238.31999999995</v>
      </c>
      <c r="C31" s="9">
        <f t="shared" si="11"/>
        <v>387817.5</v>
      </c>
      <c r="D31" s="9">
        <f t="shared" si="11"/>
        <v>525344.47</v>
      </c>
      <c r="E31" s="9">
        <f t="shared" si="11"/>
        <v>513608.29</v>
      </c>
      <c r="F31" s="9">
        <f t="shared" si="11"/>
        <v>430459.53</v>
      </c>
      <c r="G31" s="9">
        <f t="shared" si="11"/>
        <v>450805.78</v>
      </c>
      <c r="H31" s="9">
        <f t="shared" si="11"/>
        <v>417407.78</v>
      </c>
      <c r="I31" s="9">
        <f t="shared" si="11"/>
        <v>355856.04000000004</v>
      </c>
      <c r="J31" s="9">
        <f t="shared" si="11"/>
        <v>440694.53</v>
      </c>
      <c r="K31" s="9">
        <f t="shared" si="11"/>
        <v>497418.48000000004</v>
      </c>
      <c r="L31" s="9">
        <f t="shared" si="11"/>
        <v>481496.86999999994</v>
      </c>
      <c r="M31" s="9">
        <f t="shared" si="11"/>
        <v>408838.35000000003</v>
      </c>
      <c r="N31" s="9">
        <f t="shared" si="11"/>
        <v>5280985.9400000004</v>
      </c>
    </row>
    <row r="32" spans="1:14" ht="4.95" customHeight="1" x14ac:dyDescent="0.2"/>
    <row r="33" spans="1:14" x14ac:dyDescent="0.2">
      <c r="A33" s="1" t="s">
        <v>25</v>
      </c>
      <c r="B33" s="10">
        <f t="shared" ref="B33:M33" si="12">B17-B26</f>
        <v>561609.62</v>
      </c>
      <c r="C33" s="10">
        <f t="shared" si="12"/>
        <v>723686.72000000009</v>
      </c>
      <c r="D33" s="10">
        <f t="shared" si="12"/>
        <v>1081164.3399999999</v>
      </c>
      <c r="E33" s="10">
        <f t="shared" si="12"/>
        <v>1088088.1300000001</v>
      </c>
      <c r="F33" s="10">
        <f t="shared" si="12"/>
        <v>659448.40999999992</v>
      </c>
      <c r="G33" s="10">
        <f t="shared" si="12"/>
        <v>633513.84000000008</v>
      </c>
      <c r="H33" s="10">
        <f t="shared" si="12"/>
        <v>582816.05000000005</v>
      </c>
      <c r="I33" s="10">
        <f t="shared" si="12"/>
        <v>553947.16</v>
      </c>
      <c r="J33" s="10">
        <f t="shared" si="12"/>
        <v>793149.47</v>
      </c>
      <c r="K33" s="10">
        <f t="shared" si="12"/>
        <v>703700.65999999992</v>
      </c>
      <c r="L33" s="10">
        <f t="shared" si="12"/>
        <v>541484.12</v>
      </c>
      <c r="M33" s="10">
        <f t="shared" si="12"/>
        <v>512290.84000000014</v>
      </c>
      <c r="N33" s="10">
        <f>B33+C33+D33+E33+F33+G33+H33+I33+J33+K33+L33+M33</f>
        <v>8434899.3599999994</v>
      </c>
    </row>
    <row r="34" spans="1:14" x14ac:dyDescent="0.2">
      <c r="A34" s="1" t="s">
        <v>26</v>
      </c>
      <c r="B34" s="10">
        <f t="shared" ref="B34:M34" si="13">B18-B27</f>
        <v>69081.34</v>
      </c>
      <c r="C34" s="10">
        <f t="shared" si="13"/>
        <v>99786.32</v>
      </c>
      <c r="D34" s="10">
        <f t="shared" si="13"/>
        <v>189580.18000000002</v>
      </c>
      <c r="E34" s="10">
        <f t="shared" si="13"/>
        <v>193668.91000000003</v>
      </c>
      <c r="F34" s="10">
        <f t="shared" si="13"/>
        <v>126530.53</v>
      </c>
      <c r="G34" s="10">
        <f t="shared" si="13"/>
        <v>82159.860000000015</v>
      </c>
      <c r="H34" s="10">
        <f t="shared" si="13"/>
        <v>21118.639999999985</v>
      </c>
      <c r="I34" s="10">
        <f t="shared" si="13"/>
        <v>56674.94</v>
      </c>
      <c r="J34" s="10">
        <f t="shared" si="13"/>
        <v>149266.71999999994</v>
      </c>
      <c r="K34" s="10">
        <f t="shared" si="13"/>
        <v>256207.86000000004</v>
      </c>
      <c r="L34" s="10">
        <f t="shared" si="13"/>
        <v>145052.47000000006</v>
      </c>
      <c r="M34" s="10">
        <f t="shared" si="13"/>
        <v>130266.43000000005</v>
      </c>
      <c r="N34" s="10">
        <f>B34+C34+D34+E34+F34+G34+H34+I34+J34+K34+L34+M34</f>
        <v>1519394.2000000002</v>
      </c>
    </row>
    <row r="35" spans="1:14" x14ac:dyDescent="0.2">
      <c r="A35" s="1" t="s">
        <v>27</v>
      </c>
      <c r="B35" s="10">
        <f t="shared" ref="B35:M35" si="14">B19-B28</f>
        <v>56384.399999999994</v>
      </c>
      <c r="C35" s="10">
        <f t="shared" si="14"/>
        <v>72687.920000000013</v>
      </c>
      <c r="D35" s="10">
        <f t="shared" si="14"/>
        <v>100694.6</v>
      </c>
      <c r="E35" s="10">
        <f t="shared" si="14"/>
        <v>82032.39</v>
      </c>
      <c r="F35" s="10">
        <f t="shared" si="14"/>
        <v>56212.2</v>
      </c>
      <c r="G35" s="10">
        <f t="shared" si="14"/>
        <v>79990.81</v>
      </c>
      <c r="H35" s="10">
        <f t="shared" si="14"/>
        <v>85304.75</v>
      </c>
      <c r="I35" s="10">
        <f t="shared" si="14"/>
        <v>85316.91</v>
      </c>
      <c r="J35" s="10">
        <f t="shared" si="14"/>
        <v>107793.62</v>
      </c>
      <c r="K35" s="10">
        <f t="shared" si="14"/>
        <v>75006.44</v>
      </c>
      <c r="L35" s="10">
        <f t="shared" si="14"/>
        <v>71739.789999999979</v>
      </c>
      <c r="M35" s="10">
        <f t="shared" si="14"/>
        <v>55701.85</v>
      </c>
      <c r="N35" s="10">
        <f>B35+C35+D35+E35+F35+G35+H35+I35+J35+K35+L35+M35</f>
        <v>928865.68</v>
      </c>
    </row>
    <row r="36" spans="1:14" x14ac:dyDescent="0.2">
      <c r="A36" s="1" t="s">
        <v>28</v>
      </c>
      <c r="B36" s="10">
        <v>-329.41</v>
      </c>
      <c r="C36" s="10">
        <v>-422.38</v>
      </c>
      <c r="D36" s="10">
        <v>3016.21</v>
      </c>
      <c r="E36" s="10">
        <v>-55.44</v>
      </c>
      <c r="F36" s="10">
        <v>223.36</v>
      </c>
      <c r="G36" s="10">
        <v>894.41</v>
      </c>
      <c r="H36" s="10">
        <v>354.97</v>
      </c>
      <c r="I36" s="10">
        <v>327.39</v>
      </c>
      <c r="J36" s="10">
        <v>670.62</v>
      </c>
      <c r="K36" s="10">
        <v>6511.56</v>
      </c>
      <c r="L36" s="10">
        <v>2932.88</v>
      </c>
      <c r="M36" s="10">
        <v>1898.56</v>
      </c>
      <c r="N36" s="10">
        <f>B36+C36+D36+E36+F36+G36+H36+I36+J36+K36+L36+M36</f>
        <v>16022.730000000001</v>
      </c>
    </row>
    <row r="37" spans="1:14" x14ac:dyDescent="0.2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4.95" customHeight="1" x14ac:dyDescent="0.2"/>
    <row r="39" spans="1:14" x14ac:dyDescent="0.2">
      <c r="A39" s="7" t="s">
        <v>32</v>
      </c>
      <c r="B39" s="9">
        <f t="shared" ref="B39:N39" si="15">B33+B34+B35+B36</f>
        <v>686745.95</v>
      </c>
      <c r="C39" s="9">
        <f t="shared" si="15"/>
        <v>895738.58000000007</v>
      </c>
      <c r="D39" s="9">
        <f t="shared" si="15"/>
        <v>1374455.3299999998</v>
      </c>
      <c r="E39" s="9">
        <f t="shared" si="15"/>
        <v>1363733.99</v>
      </c>
      <c r="F39" s="9">
        <f t="shared" si="15"/>
        <v>842414.49999999988</v>
      </c>
      <c r="G39" s="9">
        <f t="shared" si="15"/>
        <v>796558.92</v>
      </c>
      <c r="H39" s="9">
        <f t="shared" si="15"/>
        <v>689594.41</v>
      </c>
      <c r="I39" s="9">
        <f t="shared" si="15"/>
        <v>696266.40000000014</v>
      </c>
      <c r="J39" s="9">
        <f t="shared" si="15"/>
        <v>1050880.4300000002</v>
      </c>
      <c r="K39" s="9">
        <f t="shared" si="15"/>
        <v>1041426.52</v>
      </c>
      <c r="L39" s="9">
        <f t="shared" si="15"/>
        <v>761209.26000000013</v>
      </c>
      <c r="M39" s="9">
        <f t="shared" si="15"/>
        <v>700157.68000000028</v>
      </c>
      <c r="N39" s="9">
        <f t="shared" si="15"/>
        <v>10899181.969999999</v>
      </c>
    </row>
    <row r="40" spans="1:14" ht="4.95" customHeight="1" x14ac:dyDescent="0.2"/>
    <row r="41" spans="1:14" x14ac:dyDescent="0.2">
      <c r="A41" s="7" t="s">
        <v>33</v>
      </c>
    </row>
    <row r="42" spans="1:14" x14ac:dyDescent="0.2">
      <c r="A42" s="1" t="s">
        <v>34</v>
      </c>
      <c r="B42" s="10">
        <f t="shared" ref="B42:N42" si="16">B802</f>
        <v>71468.459999999992</v>
      </c>
      <c r="C42" s="10">
        <f t="shared" si="16"/>
        <v>97133.16</v>
      </c>
      <c r="D42" s="10">
        <f t="shared" si="16"/>
        <v>98389.889999999985</v>
      </c>
      <c r="E42" s="10">
        <f t="shared" si="16"/>
        <v>101170.69</v>
      </c>
      <c r="F42" s="10">
        <f t="shared" si="16"/>
        <v>86517.29</v>
      </c>
      <c r="G42" s="10">
        <f t="shared" si="16"/>
        <v>88758.78</v>
      </c>
      <c r="H42" s="10">
        <f t="shared" si="16"/>
        <v>79679.829999999987</v>
      </c>
      <c r="I42" s="10">
        <f t="shared" si="16"/>
        <v>85179.169999999984</v>
      </c>
      <c r="J42" s="10">
        <f t="shared" si="16"/>
        <v>86047.77</v>
      </c>
      <c r="K42" s="10">
        <f t="shared" si="16"/>
        <v>79901.700000000012</v>
      </c>
      <c r="L42" s="10">
        <f t="shared" si="16"/>
        <v>92065.18</v>
      </c>
      <c r="M42" s="10">
        <f t="shared" si="16"/>
        <v>76449.119999999995</v>
      </c>
      <c r="N42" s="10">
        <f t="shared" si="16"/>
        <v>1042761.0399999999</v>
      </c>
    </row>
    <row r="43" spans="1:14" x14ac:dyDescent="0.2">
      <c r="A43" s="1" t="s">
        <v>35</v>
      </c>
      <c r="B43" s="10">
        <f t="shared" ref="B43:N43" si="17">B848</f>
        <v>10056.900000000001</v>
      </c>
      <c r="C43" s="10">
        <f t="shared" si="17"/>
        <v>10054.709999999999</v>
      </c>
      <c r="D43" s="10">
        <f t="shared" si="17"/>
        <v>10271.450000000001</v>
      </c>
      <c r="E43" s="10">
        <f t="shared" si="17"/>
        <v>10917.560000000001</v>
      </c>
      <c r="F43" s="10">
        <f t="shared" si="17"/>
        <v>16270.81</v>
      </c>
      <c r="G43" s="10">
        <f t="shared" si="17"/>
        <v>13524.07</v>
      </c>
      <c r="H43" s="10">
        <f t="shared" si="17"/>
        <v>11047.02</v>
      </c>
      <c r="I43" s="10">
        <f t="shared" si="17"/>
        <v>13077.599999999999</v>
      </c>
      <c r="J43" s="10">
        <f t="shared" si="17"/>
        <v>11883.76</v>
      </c>
      <c r="K43" s="10">
        <f t="shared" si="17"/>
        <v>16032.619999999999</v>
      </c>
      <c r="L43" s="10">
        <f t="shared" si="17"/>
        <v>11130.21</v>
      </c>
      <c r="M43" s="10">
        <f t="shared" si="17"/>
        <v>11154.6</v>
      </c>
      <c r="N43" s="10">
        <f t="shared" si="17"/>
        <v>145421.31</v>
      </c>
    </row>
    <row r="44" spans="1:14" x14ac:dyDescent="0.2">
      <c r="A44" s="1" t="s">
        <v>36</v>
      </c>
      <c r="B44" s="10">
        <f t="shared" ref="B44:N44" si="18">B899</f>
        <v>49636.08</v>
      </c>
      <c r="C44" s="10">
        <f t="shared" si="18"/>
        <v>39739.909999999996</v>
      </c>
      <c r="D44" s="10">
        <f t="shared" si="18"/>
        <v>43556.909999999996</v>
      </c>
      <c r="E44" s="10">
        <f t="shared" si="18"/>
        <v>31891.960000000003</v>
      </c>
      <c r="F44" s="10">
        <f t="shared" si="18"/>
        <v>37908.620000000003</v>
      </c>
      <c r="G44" s="10">
        <f t="shared" si="18"/>
        <v>52189.599999999999</v>
      </c>
      <c r="H44" s="10">
        <f t="shared" si="18"/>
        <v>45523.43</v>
      </c>
      <c r="I44" s="10">
        <f t="shared" si="18"/>
        <v>50693.22</v>
      </c>
      <c r="J44" s="10">
        <f t="shared" si="18"/>
        <v>52327.30999999999</v>
      </c>
      <c r="K44" s="10">
        <f t="shared" si="18"/>
        <v>56218.74</v>
      </c>
      <c r="L44" s="10">
        <f t="shared" si="18"/>
        <v>51071.260000000009</v>
      </c>
      <c r="M44" s="10">
        <f t="shared" si="18"/>
        <v>44634.619999999995</v>
      </c>
      <c r="N44" s="10">
        <f t="shared" si="18"/>
        <v>555391.66</v>
      </c>
    </row>
    <row r="45" spans="1:14" x14ac:dyDescent="0.2">
      <c r="A45" s="1" t="s">
        <v>37</v>
      </c>
      <c r="B45" s="10">
        <f t="shared" ref="B45:N45" si="19">B913</f>
        <v>101249.95999999999</v>
      </c>
      <c r="C45" s="10">
        <f t="shared" si="19"/>
        <v>128228.81999999999</v>
      </c>
      <c r="D45" s="10">
        <f t="shared" si="19"/>
        <v>180745.83</v>
      </c>
      <c r="E45" s="10">
        <f t="shared" si="19"/>
        <v>179031.53000000003</v>
      </c>
      <c r="F45" s="10">
        <f t="shared" si="19"/>
        <v>124507.71</v>
      </c>
      <c r="G45" s="10">
        <f t="shared" si="19"/>
        <v>119837.27</v>
      </c>
      <c r="H45" s="10">
        <f t="shared" si="19"/>
        <v>108615.67</v>
      </c>
      <c r="I45" s="10">
        <f t="shared" si="19"/>
        <v>105368.86</v>
      </c>
      <c r="J45" s="10">
        <f t="shared" si="19"/>
        <v>134892.19</v>
      </c>
      <c r="K45" s="10">
        <f t="shared" si="19"/>
        <v>128189.18000000001</v>
      </c>
      <c r="L45" s="10">
        <f t="shared" si="19"/>
        <v>104964.63</v>
      </c>
      <c r="M45" s="10">
        <f t="shared" si="19"/>
        <v>91590.780000000013</v>
      </c>
      <c r="N45" s="10">
        <f t="shared" si="19"/>
        <v>1507222.43</v>
      </c>
    </row>
    <row r="46" spans="1:14" x14ac:dyDescent="0.2">
      <c r="A46" s="1" t="s">
        <v>38</v>
      </c>
      <c r="B46" s="10">
        <f t="shared" ref="B46:N46" si="20">B979</f>
        <v>76367.420000000013</v>
      </c>
      <c r="C46" s="10">
        <f t="shared" si="20"/>
        <v>66446.48</v>
      </c>
      <c r="D46" s="10">
        <f t="shared" si="20"/>
        <v>59050.2</v>
      </c>
      <c r="E46" s="10">
        <f t="shared" si="20"/>
        <v>66526.12</v>
      </c>
      <c r="F46" s="10">
        <f t="shared" si="20"/>
        <v>54981.7</v>
      </c>
      <c r="G46" s="10">
        <f t="shared" si="20"/>
        <v>65910.509999999995</v>
      </c>
      <c r="H46" s="10">
        <f t="shared" si="20"/>
        <v>71515.679999999993</v>
      </c>
      <c r="I46" s="10">
        <f t="shared" si="20"/>
        <v>55054.549999999996</v>
      </c>
      <c r="J46" s="10">
        <f t="shared" si="20"/>
        <v>55587.13</v>
      </c>
      <c r="K46" s="10">
        <f t="shared" si="20"/>
        <v>67471.16</v>
      </c>
      <c r="L46" s="10">
        <f t="shared" si="20"/>
        <v>82900.799999999988</v>
      </c>
      <c r="M46" s="10">
        <f t="shared" si="20"/>
        <v>65042.170000000006</v>
      </c>
      <c r="N46" s="10">
        <f t="shared" si="20"/>
        <v>786853.92</v>
      </c>
    </row>
    <row r="47" spans="1:14" x14ac:dyDescent="0.2">
      <c r="A47" s="1" t="s">
        <v>39</v>
      </c>
      <c r="B47" s="10">
        <f t="shared" ref="B47:N47" si="21">B994</f>
        <v>92296.67</v>
      </c>
      <c r="C47" s="10">
        <f t="shared" si="21"/>
        <v>88164.81</v>
      </c>
      <c r="D47" s="10">
        <f t="shared" si="21"/>
        <v>111298.68999999999</v>
      </c>
      <c r="E47" s="10">
        <f t="shared" si="21"/>
        <v>117444.46</v>
      </c>
      <c r="F47" s="10">
        <f t="shared" si="21"/>
        <v>116745.58</v>
      </c>
      <c r="G47" s="10">
        <f t="shared" si="21"/>
        <v>136114.5</v>
      </c>
      <c r="H47" s="10">
        <f t="shared" si="21"/>
        <v>178673</v>
      </c>
      <c r="I47" s="10">
        <f t="shared" si="21"/>
        <v>169011.85</v>
      </c>
      <c r="J47" s="10">
        <f t="shared" si="21"/>
        <v>180549.16</v>
      </c>
      <c r="K47" s="10">
        <f t="shared" si="21"/>
        <v>153530.01999999999</v>
      </c>
      <c r="L47" s="10">
        <f t="shared" si="21"/>
        <v>112367.62999999999</v>
      </c>
      <c r="M47" s="10">
        <f t="shared" si="21"/>
        <v>89264.99</v>
      </c>
      <c r="N47" s="10">
        <f t="shared" si="21"/>
        <v>1545461.3599999999</v>
      </c>
    </row>
    <row r="48" spans="1:14" ht="4.95" customHeight="1" x14ac:dyDescent="0.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4.95" customHeight="1" x14ac:dyDescent="0.2"/>
    <row r="50" spans="1:14" x14ac:dyDescent="0.2">
      <c r="A50" s="7" t="s">
        <v>40</v>
      </c>
      <c r="B50" s="9">
        <f t="shared" ref="B50:N50" si="22">SUM(B42:B47)</f>
        <v>401075.49</v>
      </c>
      <c r="C50" s="9">
        <f t="shared" si="22"/>
        <v>429767.88999999996</v>
      </c>
      <c r="D50" s="9">
        <f t="shared" si="22"/>
        <v>503312.97</v>
      </c>
      <c r="E50" s="9">
        <f t="shared" si="22"/>
        <v>506982.32</v>
      </c>
      <c r="F50" s="9">
        <f t="shared" si="22"/>
        <v>436931.71</v>
      </c>
      <c r="G50" s="9">
        <f t="shared" si="22"/>
        <v>476334.73000000004</v>
      </c>
      <c r="H50" s="9">
        <f t="shared" si="22"/>
        <v>495054.63</v>
      </c>
      <c r="I50" s="9">
        <f t="shared" si="22"/>
        <v>478385.25</v>
      </c>
      <c r="J50" s="9">
        <f t="shared" si="22"/>
        <v>521287.32000000007</v>
      </c>
      <c r="K50" s="9">
        <f t="shared" si="22"/>
        <v>501343.42000000004</v>
      </c>
      <c r="L50" s="9">
        <f t="shared" si="22"/>
        <v>454499.70999999996</v>
      </c>
      <c r="M50" s="9">
        <f t="shared" si="22"/>
        <v>378136.27999999997</v>
      </c>
      <c r="N50" s="9">
        <f t="shared" si="22"/>
        <v>5583111.7199999988</v>
      </c>
    </row>
    <row r="51" spans="1:14" ht="4.95" customHeight="1" x14ac:dyDescent="0.2"/>
    <row r="52" spans="1:14" x14ac:dyDescent="0.2">
      <c r="A52" s="7" t="s">
        <v>41</v>
      </c>
      <c r="B52" s="9">
        <f t="shared" ref="B52:N52" si="23">B39-B50</f>
        <v>285670.45999999996</v>
      </c>
      <c r="C52" s="9">
        <f t="shared" si="23"/>
        <v>465970.69000000012</v>
      </c>
      <c r="D52" s="9">
        <f t="shared" si="23"/>
        <v>871142.35999999987</v>
      </c>
      <c r="E52" s="9">
        <f t="shared" si="23"/>
        <v>856751.66999999993</v>
      </c>
      <c r="F52" s="9">
        <f t="shared" si="23"/>
        <v>405482.78999999986</v>
      </c>
      <c r="G52" s="9">
        <f t="shared" si="23"/>
        <v>320224.19</v>
      </c>
      <c r="H52" s="9">
        <f t="shared" si="23"/>
        <v>194539.78000000003</v>
      </c>
      <c r="I52" s="9">
        <f t="shared" si="23"/>
        <v>217881.15000000014</v>
      </c>
      <c r="J52" s="9">
        <f t="shared" si="23"/>
        <v>529593.1100000001</v>
      </c>
      <c r="K52" s="9">
        <f t="shared" si="23"/>
        <v>540083.1</v>
      </c>
      <c r="L52" s="9">
        <f t="shared" si="23"/>
        <v>306709.55000000016</v>
      </c>
      <c r="M52" s="9">
        <f t="shared" si="23"/>
        <v>322021.40000000031</v>
      </c>
      <c r="N52" s="9">
        <f t="shared" si="23"/>
        <v>5316070.25</v>
      </c>
    </row>
    <row r="53" spans="1:14" ht="4.95" customHeight="1" x14ac:dyDescent="0.2"/>
    <row r="54" spans="1:14" x14ac:dyDescent="0.2">
      <c r="A54" s="7" t="s">
        <v>42</v>
      </c>
      <c r="B54" s="13">
        <f t="shared" ref="B54:N54" si="24">IF((B23+B1)=0,0,B52/(B23+B1))</f>
        <v>0.27001390105733797</v>
      </c>
      <c r="C54" s="13">
        <f t="shared" si="24"/>
        <v>0.36303103328371916</v>
      </c>
      <c r="D54" s="13">
        <f t="shared" si="24"/>
        <v>0.45854429503571897</v>
      </c>
      <c r="E54" s="13">
        <f t="shared" si="24"/>
        <v>0.45636412663118625</v>
      </c>
      <c r="F54" s="13">
        <f t="shared" si="24"/>
        <v>0.31855688814705402</v>
      </c>
      <c r="G54" s="13">
        <f t="shared" si="24"/>
        <v>0.2567205805968375</v>
      </c>
      <c r="H54" s="13">
        <f t="shared" si="24"/>
        <v>0.17573567763221862</v>
      </c>
      <c r="I54" s="13">
        <f t="shared" si="24"/>
        <v>0.20708725687858168</v>
      </c>
      <c r="J54" s="13">
        <f t="shared" si="24"/>
        <v>0.35505631577510527</v>
      </c>
      <c r="K54" s="13">
        <f t="shared" si="24"/>
        <v>0.35096653659075472</v>
      </c>
      <c r="L54" s="13">
        <f t="shared" si="24"/>
        <v>0.24680778713145973</v>
      </c>
      <c r="M54" s="13">
        <f t="shared" si="24"/>
        <v>0.2903720043073556</v>
      </c>
      <c r="N54" s="13">
        <f t="shared" si="24"/>
        <v>0.32855470224845151</v>
      </c>
    </row>
    <row r="55" spans="1:14" ht="4.95" customHeight="1" x14ac:dyDescent="0.2"/>
    <row r="56" spans="1:14" x14ac:dyDescent="0.2">
      <c r="A56" s="7" t="s">
        <v>43</v>
      </c>
    </row>
    <row r="57" spans="1:14" x14ac:dyDescent="0.2">
      <c r="A57" s="1" t="s">
        <v>44</v>
      </c>
      <c r="B57" s="10">
        <f t="shared" ref="B57:N57" si="25">B1014</f>
        <v>985.8</v>
      </c>
      <c r="C57" s="10">
        <f t="shared" si="25"/>
        <v>1961.8799999999999</v>
      </c>
      <c r="D57" s="10">
        <f t="shared" si="25"/>
        <v>16094.12</v>
      </c>
      <c r="E57" s="10">
        <f t="shared" si="25"/>
        <v>1482.1399999999999</v>
      </c>
      <c r="F57" s="10">
        <f t="shared" si="25"/>
        <v>1194.73</v>
      </c>
      <c r="G57" s="10">
        <f t="shared" si="25"/>
        <v>17491.260000000002</v>
      </c>
      <c r="H57" s="10">
        <f t="shared" si="25"/>
        <v>1526.4</v>
      </c>
      <c r="I57" s="10">
        <f t="shared" si="25"/>
        <v>1194.73</v>
      </c>
      <c r="J57" s="10">
        <f t="shared" si="25"/>
        <v>19194.71</v>
      </c>
      <c r="K57" s="10">
        <f t="shared" si="25"/>
        <v>1558.44</v>
      </c>
      <c r="L57" s="10">
        <f t="shared" si="25"/>
        <v>1194.72</v>
      </c>
      <c r="M57" s="10">
        <f t="shared" si="25"/>
        <v>13194.73</v>
      </c>
      <c r="N57" s="10">
        <f t="shared" si="25"/>
        <v>77073.66</v>
      </c>
    </row>
    <row r="58" spans="1:14" x14ac:dyDescent="0.2">
      <c r="A58" s="1" t="s">
        <v>43</v>
      </c>
      <c r="B58" s="10">
        <f t="shared" ref="B58:N58" si="26">B1026</f>
        <v>30646.86</v>
      </c>
      <c r="C58" s="10">
        <f t="shared" si="26"/>
        <v>37629.29</v>
      </c>
      <c r="D58" s="10">
        <f t="shared" si="26"/>
        <v>56437.77</v>
      </c>
      <c r="E58" s="10">
        <f t="shared" si="26"/>
        <v>55667.89</v>
      </c>
      <c r="F58" s="10">
        <f t="shared" si="26"/>
        <v>37782.050000000003</v>
      </c>
      <c r="G58" s="10">
        <f t="shared" si="26"/>
        <v>36789.35</v>
      </c>
      <c r="H58" s="10">
        <f t="shared" si="26"/>
        <v>32874.769999999997</v>
      </c>
      <c r="I58" s="10">
        <f t="shared" si="26"/>
        <v>30935.47</v>
      </c>
      <c r="J58" s="10">
        <f t="shared" si="26"/>
        <v>44164.07</v>
      </c>
      <c r="K58" s="10">
        <f t="shared" si="26"/>
        <v>45832.03</v>
      </c>
      <c r="L58" s="10">
        <f t="shared" si="26"/>
        <v>37757.18</v>
      </c>
      <c r="M58" s="10">
        <f t="shared" si="26"/>
        <v>32952.949999999997</v>
      </c>
      <c r="N58" s="10">
        <f t="shared" si="26"/>
        <v>479469.67999999993</v>
      </c>
    </row>
    <row r="59" spans="1:14" ht="4.95" customHeight="1" x14ac:dyDescent="0.2"/>
    <row r="60" spans="1:14" x14ac:dyDescent="0.2">
      <c r="A60" s="7" t="s">
        <v>45</v>
      </c>
      <c r="B60" s="9">
        <f t="shared" ref="B60:N60" si="27">SUM(B57:B58)</f>
        <v>31632.66</v>
      </c>
      <c r="C60" s="9">
        <f t="shared" si="27"/>
        <v>39591.17</v>
      </c>
      <c r="D60" s="9">
        <f t="shared" si="27"/>
        <v>72531.89</v>
      </c>
      <c r="E60" s="9">
        <f t="shared" si="27"/>
        <v>57150.03</v>
      </c>
      <c r="F60" s="9">
        <f t="shared" si="27"/>
        <v>38976.780000000006</v>
      </c>
      <c r="G60" s="9">
        <f t="shared" si="27"/>
        <v>54280.61</v>
      </c>
      <c r="H60" s="9">
        <f t="shared" si="27"/>
        <v>34401.17</v>
      </c>
      <c r="I60" s="9">
        <f t="shared" si="27"/>
        <v>32130.2</v>
      </c>
      <c r="J60" s="9">
        <f t="shared" si="27"/>
        <v>63358.78</v>
      </c>
      <c r="K60" s="9">
        <f t="shared" si="27"/>
        <v>47390.47</v>
      </c>
      <c r="L60" s="9">
        <f t="shared" si="27"/>
        <v>38951.9</v>
      </c>
      <c r="M60" s="9">
        <f t="shared" si="27"/>
        <v>46147.679999999993</v>
      </c>
      <c r="N60" s="9">
        <f t="shared" si="27"/>
        <v>556543.34</v>
      </c>
    </row>
    <row r="61" spans="1:14" ht="4.95" customHeight="1" x14ac:dyDescent="0.2"/>
    <row r="62" spans="1:14" x14ac:dyDescent="0.2">
      <c r="A62" s="7" t="s">
        <v>46</v>
      </c>
      <c r="B62" s="9">
        <f t="shared" ref="B62:N62" si="28">B52-B57-B58</f>
        <v>254037.8</v>
      </c>
      <c r="C62" s="9">
        <f t="shared" si="28"/>
        <v>426379.52000000014</v>
      </c>
      <c r="D62" s="9">
        <f t="shared" si="28"/>
        <v>798610.46999999986</v>
      </c>
      <c r="E62" s="9">
        <f t="shared" si="28"/>
        <v>799601.6399999999</v>
      </c>
      <c r="F62" s="9">
        <f t="shared" si="28"/>
        <v>366506.00999999989</v>
      </c>
      <c r="G62" s="9">
        <f t="shared" si="28"/>
        <v>265943.58</v>
      </c>
      <c r="H62" s="9">
        <f t="shared" si="28"/>
        <v>160138.61000000004</v>
      </c>
      <c r="I62" s="9">
        <f t="shared" si="28"/>
        <v>185750.95000000013</v>
      </c>
      <c r="J62" s="9">
        <f t="shared" si="28"/>
        <v>466234.33000000007</v>
      </c>
      <c r="K62" s="9">
        <f t="shared" si="28"/>
        <v>492692.63</v>
      </c>
      <c r="L62" s="9">
        <f t="shared" si="28"/>
        <v>267757.6500000002</v>
      </c>
      <c r="M62" s="9">
        <f t="shared" si="28"/>
        <v>275873.72000000032</v>
      </c>
      <c r="N62" s="9">
        <f t="shared" si="28"/>
        <v>4759526.91</v>
      </c>
    </row>
    <row r="63" spans="1:14" ht="4.95" customHeight="1" x14ac:dyDescent="0.2"/>
    <row r="64" spans="1:14" x14ac:dyDescent="0.2">
      <c r="A64" s="7" t="s">
        <v>47</v>
      </c>
    </row>
    <row r="65" spans="1:14" x14ac:dyDescent="0.2">
      <c r="A65" s="1" t="s">
        <v>48</v>
      </c>
      <c r="B65" s="10">
        <f t="shared" ref="B65:N65" si="29">B1039</f>
        <v>47045.86</v>
      </c>
      <c r="C65" s="10">
        <f t="shared" si="29"/>
        <v>47404.56</v>
      </c>
      <c r="D65" s="10">
        <f t="shared" si="29"/>
        <v>46687.16</v>
      </c>
      <c r="E65" s="10">
        <f t="shared" si="29"/>
        <v>48939.25</v>
      </c>
      <c r="F65" s="10">
        <f t="shared" si="29"/>
        <v>47519.21</v>
      </c>
      <c r="G65" s="10">
        <f t="shared" si="29"/>
        <v>47519.21</v>
      </c>
      <c r="H65" s="10">
        <f t="shared" si="29"/>
        <v>47519.21</v>
      </c>
      <c r="I65" s="10">
        <f t="shared" si="29"/>
        <v>47519.21</v>
      </c>
      <c r="J65" s="10">
        <f t="shared" si="29"/>
        <v>47519.21</v>
      </c>
      <c r="K65" s="10">
        <f t="shared" si="29"/>
        <v>41632.159999999996</v>
      </c>
      <c r="L65" s="10">
        <f t="shared" si="29"/>
        <v>41632.159999999996</v>
      </c>
      <c r="M65" s="10">
        <f t="shared" si="29"/>
        <v>42023.08</v>
      </c>
      <c r="N65" s="10">
        <f t="shared" si="29"/>
        <v>552960.27999999991</v>
      </c>
    </row>
    <row r="66" spans="1:14" x14ac:dyDescent="0.2">
      <c r="A66" s="1" t="s">
        <v>49</v>
      </c>
      <c r="B66" s="10">
        <f t="shared" ref="B66:N66" si="30">B1054</f>
        <v>26625.649999999998</v>
      </c>
      <c r="C66" s="10">
        <f t="shared" si="30"/>
        <v>27389.420000000002</v>
      </c>
      <c r="D66" s="10">
        <f t="shared" si="30"/>
        <v>26609.98</v>
      </c>
      <c r="E66" s="10">
        <f t="shared" si="30"/>
        <v>28916.12</v>
      </c>
      <c r="F66" s="10">
        <f t="shared" si="30"/>
        <v>30405.99</v>
      </c>
      <c r="G66" s="10">
        <f t="shared" si="30"/>
        <v>26942.5</v>
      </c>
      <c r="H66" s="10">
        <f t="shared" si="30"/>
        <v>32346.730000000003</v>
      </c>
      <c r="I66" s="10">
        <f t="shared" si="30"/>
        <v>20373.46</v>
      </c>
      <c r="J66" s="10">
        <f t="shared" si="30"/>
        <v>20279.439999999999</v>
      </c>
      <c r="K66" s="10">
        <f t="shared" si="30"/>
        <v>20551.37</v>
      </c>
      <c r="L66" s="10">
        <f t="shared" si="30"/>
        <v>20551.37</v>
      </c>
      <c r="M66" s="10">
        <f t="shared" si="30"/>
        <v>13025.52</v>
      </c>
      <c r="N66" s="10">
        <f t="shared" si="30"/>
        <v>294017.55000000005</v>
      </c>
    </row>
    <row r="67" spans="1:14" x14ac:dyDescent="0.2">
      <c r="A67" s="1" t="s">
        <v>50</v>
      </c>
      <c r="B67" s="10">
        <f t="shared" ref="B67:N67" si="31">B1065</f>
        <v>0</v>
      </c>
      <c r="C67" s="10">
        <f t="shared" si="31"/>
        <v>0</v>
      </c>
      <c r="D67" s="10">
        <f t="shared" si="31"/>
        <v>4216</v>
      </c>
      <c r="E67" s="10">
        <f t="shared" si="31"/>
        <v>0</v>
      </c>
      <c r="F67" s="10">
        <f t="shared" si="31"/>
        <v>5680.27</v>
      </c>
      <c r="G67" s="10">
        <f t="shared" si="31"/>
        <v>5000</v>
      </c>
      <c r="H67" s="10">
        <f t="shared" si="31"/>
        <v>0</v>
      </c>
      <c r="I67" s="10">
        <f t="shared" si="31"/>
        <v>0</v>
      </c>
      <c r="J67" s="10">
        <f t="shared" si="31"/>
        <v>9018.67</v>
      </c>
      <c r="K67" s="10">
        <f t="shared" si="31"/>
        <v>0</v>
      </c>
      <c r="L67" s="10">
        <f t="shared" si="31"/>
        <v>-27815.93</v>
      </c>
      <c r="M67" s="10">
        <f t="shared" si="31"/>
        <v>0</v>
      </c>
      <c r="N67" s="10">
        <f t="shared" si="31"/>
        <v>-3900.989999999998</v>
      </c>
    </row>
    <row r="68" spans="1:14" ht="4.95" customHeight="1" x14ac:dyDescent="0.2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4.95" customHeight="1" x14ac:dyDescent="0.2"/>
    <row r="70" spans="1:14" x14ac:dyDescent="0.2">
      <c r="A70" s="7" t="s">
        <v>51</v>
      </c>
      <c r="B70" s="9">
        <f t="shared" ref="B70:N70" si="32">SUM(B65:B67)</f>
        <v>73671.509999999995</v>
      </c>
      <c r="C70" s="9">
        <f t="shared" si="32"/>
        <v>74793.98</v>
      </c>
      <c r="D70" s="9">
        <f t="shared" si="32"/>
        <v>77513.14</v>
      </c>
      <c r="E70" s="9">
        <f t="shared" si="32"/>
        <v>77855.37</v>
      </c>
      <c r="F70" s="9">
        <f t="shared" si="32"/>
        <v>83605.47</v>
      </c>
      <c r="G70" s="9">
        <f t="shared" si="32"/>
        <v>79461.709999999992</v>
      </c>
      <c r="H70" s="9">
        <f t="shared" si="32"/>
        <v>79865.94</v>
      </c>
      <c r="I70" s="9">
        <f t="shared" si="32"/>
        <v>67892.67</v>
      </c>
      <c r="J70" s="9">
        <f t="shared" si="32"/>
        <v>76817.319999999992</v>
      </c>
      <c r="K70" s="9">
        <f t="shared" si="32"/>
        <v>62183.53</v>
      </c>
      <c r="L70" s="9">
        <f t="shared" si="32"/>
        <v>34367.599999999999</v>
      </c>
      <c r="M70" s="9">
        <f t="shared" si="32"/>
        <v>55048.600000000006</v>
      </c>
      <c r="N70" s="9">
        <f t="shared" si="32"/>
        <v>843076.84</v>
      </c>
    </row>
    <row r="71" spans="1:14" ht="4.95" customHeight="1" x14ac:dyDescent="0.2"/>
    <row r="72" spans="1:14" x14ac:dyDescent="0.2">
      <c r="A72" s="1" t="s">
        <v>52</v>
      </c>
      <c r="B72" s="10">
        <f t="shared" ref="B72:N72" si="33">B1077</f>
        <v>701.02</v>
      </c>
      <c r="C72" s="10">
        <f t="shared" si="33"/>
        <v>1946.17</v>
      </c>
      <c r="D72" s="10">
        <f t="shared" si="33"/>
        <v>1720.88</v>
      </c>
      <c r="E72" s="10">
        <f t="shared" si="33"/>
        <v>9882.1</v>
      </c>
      <c r="F72" s="10">
        <f t="shared" si="33"/>
        <v>3981.26</v>
      </c>
      <c r="G72" s="10">
        <f t="shared" si="33"/>
        <v>4548.05</v>
      </c>
      <c r="H72" s="10">
        <f t="shared" si="33"/>
        <v>2926.07</v>
      </c>
      <c r="I72" s="10">
        <f t="shared" si="33"/>
        <v>1594.56</v>
      </c>
      <c r="J72" s="10">
        <f t="shared" si="33"/>
        <v>1309.51</v>
      </c>
      <c r="K72" s="10">
        <f t="shared" si="33"/>
        <v>6269.0199999999995</v>
      </c>
      <c r="L72" s="10">
        <f t="shared" si="33"/>
        <v>7560.22</v>
      </c>
      <c r="M72" s="10">
        <f t="shared" si="33"/>
        <v>448190.86</v>
      </c>
      <c r="N72" s="10">
        <f t="shared" si="33"/>
        <v>490629.72</v>
      </c>
    </row>
    <row r="73" spans="1:14" ht="4.95" customHeight="1" x14ac:dyDescent="0.2"/>
    <row r="74" spans="1:14" x14ac:dyDescent="0.2">
      <c r="A74" s="7" t="s">
        <v>53</v>
      </c>
      <c r="B74" s="9">
        <f t="shared" ref="B74:N74" si="34">B62-B70+B72</f>
        <v>181067.30999999997</v>
      </c>
      <c r="C74" s="9">
        <f t="shared" si="34"/>
        <v>353531.71000000014</v>
      </c>
      <c r="D74" s="9">
        <f t="shared" si="34"/>
        <v>722818.20999999985</v>
      </c>
      <c r="E74" s="9">
        <f t="shared" si="34"/>
        <v>731628.36999999988</v>
      </c>
      <c r="F74" s="9">
        <f t="shared" si="34"/>
        <v>286881.79999999993</v>
      </c>
      <c r="G74" s="9">
        <f t="shared" si="34"/>
        <v>191029.92</v>
      </c>
      <c r="H74" s="9">
        <f t="shared" si="34"/>
        <v>83198.740000000049</v>
      </c>
      <c r="I74" s="9">
        <f t="shared" si="34"/>
        <v>119452.84000000013</v>
      </c>
      <c r="J74" s="9">
        <f t="shared" si="34"/>
        <v>390726.52000000008</v>
      </c>
      <c r="K74" s="9">
        <f t="shared" si="34"/>
        <v>436778.12</v>
      </c>
      <c r="L74" s="9">
        <f t="shared" si="34"/>
        <v>240950.27000000019</v>
      </c>
      <c r="M74" s="9">
        <f t="shared" si="34"/>
        <v>669015.98000000033</v>
      </c>
      <c r="N74" s="9">
        <f t="shared" si="34"/>
        <v>4407079.79</v>
      </c>
    </row>
    <row r="75" spans="1:14" ht="4.95" customHeight="1" x14ac:dyDescent="0.2"/>
    <row r="76" spans="1:14" x14ac:dyDescent="0.2">
      <c r="A76" s="7" t="s">
        <v>54</v>
      </c>
      <c r="B76" s="9">
        <f t="shared" ref="B76:N76" si="35">B62-B70+B72</f>
        <v>181067.30999999997</v>
      </c>
      <c r="C76" s="9">
        <f t="shared" si="35"/>
        <v>353531.71000000014</v>
      </c>
      <c r="D76" s="9">
        <f t="shared" si="35"/>
        <v>722818.20999999985</v>
      </c>
      <c r="E76" s="9">
        <f t="shared" si="35"/>
        <v>731628.36999999988</v>
      </c>
      <c r="F76" s="9">
        <f t="shared" si="35"/>
        <v>286881.79999999993</v>
      </c>
      <c r="G76" s="9">
        <f t="shared" si="35"/>
        <v>191029.92</v>
      </c>
      <c r="H76" s="9">
        <f t="shared" si="35"/>
        <v>83198.740000000049</v>
      </c>
      <c r="I76" s="9">
        <f t="shared" si="35"/>
        <v>119452.84000000013</v>
      </c>
      <c r="J76" s="9">
        <f t="shared" si="35"/>
        <v>390726.52000000008</v>
      </c>
      <c r="K76" s="9">
        <f t="shared" si="35"/>
        <v>436778.12</v>
      </c>
      <c r="L76" s="9">
        <f t="shared" si="35"/>
        <v>240950.27000000019</v>
      </c>
      <c r="M76" s="9">
        <f t="shared" si="35"/>
        <v>669015.98000000033</v>
      </c>
      <c r="N76" s="9">
        <f t="shared" si="35"/>
        <v>4407079.79</v>
      </c>
    </row>
    <row r="77" spans="1:14" ht="4.95" customHeight="1" x14ac:dyDescent="0.2"/>
    <row r="78" spans="1:14" x14ac:dyDescent="0.2">
      <c r="A78" s="1" t="s">
        <v>55</v>
      </c>
      <c r="B78" s="10">
        <f t="shared" ref="B78:N78" si="36">B1090</f>
        <v>154193.73000000001</v>
      </c>
      <c r="C78" s="10">
        <f t="shared" si="36"/>
        <v>139059.71</v>
      </c>
      <c r="D78" s="10">
        <f t="shared" si="36"/>
        <v>181603.03</v>
      </c>
      <c r="E78" s="10">
        <f t="shared" si="36"/>
        <v>148431.13999999998</v>
      </c>
      <c r="F78" s="10">
        <f t="shared" si="36"/>
        <v>153094.34</v>
      </c>
      <c r="G78" s="10">
        <f t="shared" si="36"/>
        <v>147917.5</v>
      </c>
      <c r="H78" s="10">
        <f t="shared" si="36"/>
        <v>152561.77000000002</v>
      </c>
      <c r="I78" s="10">
        <f t="shared" si="36"/>
        <v>152308.56</v>
      </c>
      <c r="J78" s="10">
        <f t="shared" si="36"/>
        <v>147149.20000000001</v>
      </c>
      <c r="K78" s="10">
        <f t="shared" si="36"/>
        <v>151765.16</v>
      </c>
      <c r="L78" s="10">
        <f t="shared" si="36"/>
        <v>146624.65000000002</v>
      </c>
      <c r="M78" s="10">
        <f t="shared" si="36"/>
        <v>151225.26999999999</v>
      </c>
      <c r="N78" s="10">
        <f t="shared" si="36"/>
        <v>1825934.06</v>
      </c>
    </row>
    <row r="79" spans="1:14" ht="4.95" customHeight="1" x14ac:dyDescent="0.2"/>
    <row r="80" spans="1:14" x14ac:dyDescent="0.2">
      <c r="A80" s="7" t="s">
        <v>56</v>
      </c>
      <c r="B80" s="9">
        <f t="shared" ref="B80:N80" si="37">B76-B78</f>
        <v>26873.579999999958</v>
      </c>
      <c r="C80" s="9">
        <f t="shared" si="37"/>
        <v>214472.00000000015</v>
      </c>
      <c r="D80" s="9">
        <f t="shared" si="37"/>
        <v>541215.17999999982</v>
      </c>
      <c r="E80" s="9">
        <f t="shared" si="37"/>
        <v>583197.22999999986</v>
      </c>
      <c r="F80" s="9">
        <f t="shared" si="37"/>
        <v>133787.45999999993</v>
      </c>
      <c r="G80" s="9">
        <f t="shared" si="37"/>
        <v>43112.420000000013</v>
      </c>
      <c r="H80" s="9">
        <f t="shared" si="37"/>
        <v>-69363.02999999997</v>
      </c>
      <c r="I80" s="9">
        <f t="shared" si="37"/>
        <v>-32855.71999999987</v>
      </c>
      <c r="J80" s="9">
        <f t="shared" si="37"/>
        <v>243577.32000000007</v>
      </c>
      <c r="K80" s="9">
        <f t="shared" si="37"/>
        <v>285012.95999999996</v>
      </c>
      <c r="L80" s="9">
        <f t="shared" si="37"/>
        <v>94325.62000000017</v>
      </c>
      <c r="M80" s="9">
        <f t="shared" si="37"/>
        <v>517790.71000000031</v>
      </c>
      <c r="N80" s="9">
        <f t="shared" si="37"/>
        <v>2581145.73</v>
      </c>
    </row>
    <row r="81" spans="1:14" ht="4.95" customHeight="1" x14ac:dyDescent="0.2"/>
    <row r="82" spans="1:14" x14ac:dyDescent="0.2">
      <c r="A82" s="1" t="s">
        <v>57</v>
      </c>
      <c r="B82" s="10">
        <f t="shared" ref="B82:N82" si="38">B1102</f>
        <v>0</v>
      </c>
      <c r="C82" s="10">
        <f t="shared" si="38"/>
        <v>0</v>
      </c>
      <c r="D82" s="10">
        <f t="shared" si="38"/>
        <v>0</v>
      </c>
      <c r="E82" s="10">
        <f t="shared" si="38"/>
        <v>0</v>
      </c>
      <c r="F82" s="10">
        <f t="shared" si="38"/>
        <v>0</v>
      </c>
      <c r="G82" s="10">
        <f t="shared" si="38"/>
        <v>0</v>
      </c>
      <c r="H82" s="10">
        <f t="shared" si="38"/>
        <v>0</v>
      </c>
      <c r="I82" s="10">
        <f t="shared" si="38"/>
        <v>0</v>
      </c>
      <c r="J82" s="10">
        <f t="shared" si="38"/>
        <v>0</v>
      </c>
      <c r="K82" s="10">
        <f t="shared" si="38"/>
        <v>0</v>
      </c>
      <c r="L82" s="10">
        <f t="shared" si="38"/>
        <v>0</v>
      </c>
      <c r="M82" s="10">
        <f t="shared" si="38"/>
        <v>2062705.2</v>
      </c>
      <c r="N82" s="10">
        <f t="shared" si="38"/>
        <v>2062705.2</v>
      </c>
    </row>
    <row r="83" spans="1:14" ht="4.95" customHeight="1" x14ac:dyDescent="0.2"/>
    <row r="84" spans="1:14" x14ac:dyDescent="0.2">
      <c r="A84" s="7" t="s">
        <v>58</v>
      </c>
      <c r="B84" s="9">
        <f t="shared" ref="B84:N84" si="39">B77+B80-B82</f>
        <v>26873.579999999958</v>
      </c>
      <c r="C84" s="9">
        <f t="shared" si="39"/>
        <v>214472.00000000015</v>
      </c>
      <c r="D84" s="9">
        <f t="shared" si="39"/>
        <v>541215.17999999982</v>
      </c>
      <c r="E84" s="9">
        <f t="shared" si="39"/>
        <v>583197.22999999986</v>
      </c>
      <c r="F84" s="9">
        <f t="shared" si="39"/>
        <v>133787.45999999993</v>
      </c>
      <c r="G84" s="9">
        <f t="shared" si="39"/>
        <v>43112.420000000013</v>
      </c>
      <c r="H84" s="9">
        <f t="shared" si="39"/>
        <v>-69363.02999999997</v>
      </c>
      <c r="I84" s="9">
        <f t="shared" si="39"/>
        <v>-32855.71999999987</v>
      </c>
      <c r="J84" s="9">
        <f t="shared" si="39"/>
        <v>243577.32000000007</v>
      </c>
      <c r="K84" s="9">
        <f t="shared" si="39"/>
        <v>285012.95999999996</v>
      </c>
      <c r="L84" s="9">
        <f t="shared" si="39"/>
        <v>94325.62000000017</v>
      </c>
      <c r="M84" s="9">
        <f t="shared" si="39"/>
        <v>-1544914.4899999998</v>
      </c>
      <c r="N84" s="9">
        <f t="shared" si="39"/>
        <v>518440.53</v>
      </c>
    </row>
    <row r="85" spans="1:14" x14ac:dyDescent="0.2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 t="s">
        <v>3</v>
      </c>
    </row>
    <row r="86" spans="1:14" x14ac:dyDescent="0.2">
      <c r="A86" s="16" t="s">
        <v>25</v>
      </c>
    </row>
    <row r="88" spans="1:14" x14ac:dyDescent="0.2">
      <c r="A88" s="16" t="s">
        <v>59</v>
      </c>
    </row>
    <row r="89" spans="1:14" x14ac:dyDescent="0.2">
      <c r="A89" s="16" t="s">
        <v>60</v>
      </c>
    </row>
    <row r="90" spans="1:14" x14ac:dyDescent="0.2">
      <c r="A90" s="17" t="s">
        <v>61</v>
      </c>
      <c r="B90" s="10">
        <v>275224.59999999998</v>
      </c>
      <c r="C90" s="10">
        <v>355762.51</v>
      </c>
      <c r="D90" s="10">
        <v>518230.62</v>
      </c>
      <c r="E90" s="10">
        <v>538238.12</v>
      </c>
      <c r="F90" s="10">
        <v>386925.12</v>
      </c>
      <c r="G90" s="10">
        <v>342269.25</v>
      </c>
      <c r="H90" s="10">
        <v>307217.23</v>
      </c>
      <c r="I90" s="10">
        <v>292979.20000000001</v>
      </c>
      <c r="J90" s="10">
        <v>349305.21</v>
      </c>
      <c r="K90" s="10">
        <v>283384.39</v>
      </c>
      <c r="L90" s="10">
        <v>265914.65999999997</v>
      </c>
      <c r="M90" s="10">
        <v>189311.28</v>
      </c>
      <c r="N90" s="10">
        <f t="shared" ref="N90:N96" si="40">B90+C90+D90+E90+F90+G90+H90+I90+J90+K90+L90+M90</f>
        <v>4104762.1900000004</v>
      </c>
    </row>
    <row r="91" spans="1:14" x14ac:dyDescent="0.2">
      <c r="A91" s="17" t="s">
        <v>62</v>
      </c>
      <c r="B91" s="10">
        <v>33693.519999999997</v>
      </c>
      <c r="C91" s="10">
        <v>34935.410000000003</v>
      </c>
      <c r="D91" s="10">
        <v>40612.79</v>
      </c>
      <c r="E91" s="10">
        <v>27940.799999999999</v>
      </c>
      <c r="F91" s="10">
        <v>27653.39</v>
      </c>
      <c r="G91" s="10">
        <v>39465.4</v>
      </c>
      <c r="H91" s="10">
        <v>47043.360000000001</v>
      </c>
      <c r="I91" s="10">
        <v>42200.25</v>
      </c>
      <c r="J91" s="10">
        <v>38651.49</v>
      </c>
      <c r="K91" s="10">
        <v>40573.21</v>
      </c>
      <c r="L91" s="10">
        <v>33040.81</v>
      </c>
      <c r="M91" s="10">
        <v>23461.759999999998</v>
      </c>
      <c r="N91" s="10">
        <f t="shared" si="40"/>
        <v>429272.19</v>
      </c>
    </row>
    <row r="92" spans="1:14" x14ac:dyDescent="0.2">
      <c r="A92" s="17" t="s">
        <v>63</v>
      </c>
      <c r="B92" s="10">
        <v>23137.51</v>
      </c>
      <c r="C92" s="10">
        <v>45630.74</v>
      </c>
      <c r="D92" s="10">
        <v>77212.09</v>
      </c>
      <c r="E92" s="10">
        <v>93570.59</v>
      </c>
      <c r="F92" s="10">
        <v>44981.58</v>
      </c>
      <c r="G92" s="10">
        <v>34829.9</v>
      </c>
      <c r="H92" s="10">
        <v>29704.81</v>
      </c>
      <c r="I92" s="10">
        <v>32994.400000000001</v>
      </c>
      <c r="J92" s="10">
        <v>57865.25</v>
      </c>
      <c r="K92" s="10">
        <v>33706.230000000003</v>
      </c>
      <c r="L92" s="10">
        <v>30330.51</v>
      </c>
      <c r="M92" s="10">
        <v>32666.02</v>
      </c>
      <c r="N92" s="10">
        <f t="shared" si="40"/>
        <v>536629.63</v>
      </c>
    </row>
    <row r="93" spans="1:14" x14ac:dyDescent="0.2">
      <c r="A93" s="17" t="s">
        <v>64</v>
      </c>
      <c r="B93" s="10">
        <v>142994.85</v>
      </c>
      <c r="C93" s="10">
        <v>151269.1</v>
      </c>
      <c r="D93" s="10">
        <v>247157.52</v>
      </c>
      <c r="E93" s="10">
        <v>236377.26</v>
      </c>
      <c r="F93" s="10">
        <v>141161.78</v>
      </c>
      <c r="G93" s="10">
        <v>190688.53</v>
      </c>
      <c r="H93" s="10">
        <v>163446.42000000001</v>
      </c>
      <c r="I93" s="10">
        <v>129451.5</v>
      </c>
      <c r="J93" s="10">
        <v>188464.84</v>
      </c>
      <c r="K93" s="10">
        <v>114252.47</v>
      </c>
      <c r="L93" s="10">
        <v>104989.32</v>
      </c>
      <c r="M93" s="10">
        <v>92189.94</v>
      </c>
      <c r="N93" s="10">
        <f t="shared" si="40"/>
        <v>1902443.53</v>
      </c>
    </row>
    <row r="94" spans="1:14" x14ac:dyDescent="0.2">
      <c r="A94" s="17" t="s">
        <v>65</v>
      </c>
      <c r="B94" s="10">
        <v>71188.350000000006</v>
      </c>
      <c r="C94" s="10">
        <v>121407.52</v>
      </c>
      <c r="D94" s="10">
        <v>130246.55</v>
      </c>
      <c r="E94" s="10">
        <v>133442.56</v>
      </c>
      <c r="F94" s="10">
        <v>103216.2</v>
      </c>
      <c r="G94" s="10">
        <v>100552.83</v>
      </c>
      <c r="H94" s="10">
        <v>76181.41</v>
      </c>
      <c r="I94" s="10">
        <v>116646.24</v>
      </c>
      <c r="J94" s="10">
        <v>119010.24000000001</v>
      </c>
      <c r="K94" s="10">
        <v>131547.14000000001</v>
      </c>
      <c r="L94" s="10">
        <v>68235.03</v>
      </c>
      <c r="M94" s="10">
        <v>89478.28</v>
      </c>
      <c r="N94" s="10">
        <f t="shared" si="40"/>
        <v>1261152.3500000001</v>
      </c>
    </row>
    <row r="95" spans="1:14" x14ac:dyDescent="0.2">
      <c r="A95" s="17" t="s">
        <v>66</v>
      </c>
      <c r="B95" s="10">
        <v>33033.47</v>
      </c>
      <c r="C95" s="10">
        <v>38798.29</v>
      </c>
      <c r="D95" s="10">
        <v>43290.58</v>
      </c>
      <c r="E95" s="10">
        <v>43843.85</v>
      </c>
      <c r="F95" s="10">
        <v>51917.2</v>
      </c>
      <c r="G95" s="10">
        <v>23942.5</v>
      </c>
      <c r="H95" s="10">
        <v>26008.93</v>
      </c>
      <c r="I95" s="10">
        <v>37321.39</v>
      </c>
      <c r="J95" s="10">
        <v>31942.53</v>
      </c>
      <c r="K95" s="10">
        <v>42294.36</v>
      </c>
      <c r="L95" s="10">
        <v>43183.45</v>
      </c>
      <c r="M95" s="10">
        <v>41681.870000000003</v>
      </c>
      <c r="N95" s="10">
        <f t="shared" si="40"/>
        <v>457258.42</v>
      </c>
    </row>
    <row r="96" spans="1:14" x14ac:dyDescent="0.2">
      <c r="A96" s="17" t="s">
        <v>67</v>
      </c>
      <c r="B96" s="10">
        <v>8015.03</v>
      </c>
      <c r="C96" s="10">
        <v>16385.7</v>
      </c>
      <c r="D96" s="10">
        <v>36218.29</v>
      </c>
      <c r="E96" s="10">
        <v>12123.48</v>
      </c>
      <c r="F96" s="10">
        <v>6011.62</v>
      </c>
      <c r="G96" s="10">
        <v>4390.0600000000004</v>
      </c>
      <c r="H96" s="10">
        <v>2544.08</v>
      </c>
      <c r="I96" s="10">
        <v>3155.75</v>
      </c>
      <c r="J96" s="10">
        <v>1453.6</v>
      </c>
      <c r="K96" s="10">
        <v>6819.28</v>
      </c>
      <c r="L96" s="10">
        <v>4513.96</v>
      </c>
      <c r="M96" s="10">
        <v>1821</v>
      </c>
      <c r="N96" s="10">
        <f t="shared" si="40"/>
        <v>103451.85</v>
      </c>
    </row>
    <row r="97" spans="1:14" ht="4.95" customHeight="1" x14ac:dyDescent="0.2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ht="4.95" customHeight="1" x14ac:dyDescent="0.2"/>
    <row r="99" spans="1:14" x14ac:dyDescent="0.2">
      <c r="A99" s="16" t="s">
        <v>68</v>
      </c>
      <c r="B99" s="9">
        <f t="shared" ref="B99:N99" si="41">SUM(B90:B96)</f>
        <v>587287.32999999996</v>
      </c>
      <c r="C99" s="9">
        <f t="shared" si="41"/>
        <v>764189.27</v>
      </c>
      <c r="D99" s="9">
        <f t="shared" si="41"/>
        <v>1092968.4400000002</v>
      </c>
      <c r="E99" s="9">
        <f t="shared" si="41"/>
        <v>1085536.6600000001</v>
      </c>
      <c r="F99" s="9">
        <f t="shared" si="41"/>
        <v>761866.8899999999</v>
      </c>
      <c r="G99" s="9">
        <f t="shared" si="41"/>
        <v>736138.47000000009</v>
      </c>
      <c r="H99" s="9">
        <f t="shared" si="41"/>
        <v>652146.24</v>
      </c>
      <c r="I99" s="9">
        <f t="shared" si="41"/>
        <v>654748.7300000001</v>
      </c>
      <c r="J99" s="9">
        <f t="shared" si="41"/>
        <v>786693.16</v>
      </c>
      <c r="K99" s="9">
        <f t="shared" si="41"/>
        <v>652577.08000000007</v>
      </c>
      <c r="L99" s="9">
        <f t="shared" si="41"/>
        <v>550207.73999999987</v>
      </c>
      <c r="M99" s="9">
        <f t="shared" si="41"/>
        <v>470610.15</v>
      </c>
      <c r="N99" s="9">
        <f t="shared" si="41"/>
        <v>8794970.1600000001</v>
      </c>
    </row>
    <row r="100" spans="1:14" ht="4.95" customHeight="1" x14ac:dyDescent="0.2"/>
    <row r="101" spans="1:14" x14ac:dyDescent="0.2">
      <c r="A101" s="16" t="s">
        <v>69</v>
      </c>
    </row>
    <row r="102" spans="1:14" x14ac:dyDescent="0.2">
      <c r="A102" s="17" t="s">
        <v>70</v>
      </c>
      <c r="B102" s="10">
        <v>0</v>
      </c>
      <c r="C102" s="10">
        <v>1666</v>
      </c>
      <c r="D102" s="10">
        <v>68913</v>
      </c>
      <c r="E102" s="10">
        <v>44082</v>
      </c>
      <c r="F102" s="10">
        <v>0</v>
      </c>
      <c r="G102" s="10">
        <v>0</v>
      </c>
      <c r="H102" s="10">
        <v>0</v>
      </c>
      <c r="I102" s="10">
        <v>0</v>
      </c>
      <c r="J102" s="10">
        <v>1043</v>
      </c>
      <c r="K102" s="10">
        <v>5593</v>
      </c>
      <c r="L102" s="10">
        <v>0</v>
      </c>
      <c r="M102" s="10">
        <v>318</v>
      </c>
      <c r="N102" s="10">
        <f>B102+C102+D102+E102+F102+G102+H102+I102+J102+K102+L102+M102</f>
        <v>121615</v>
      </c>
    </row>
    <row r="103" spans="1:14" x14ac:dyDescent="0.2">
      <c r="A103" s="17" t="s">
        <v>71</v>
      </c>
      <c r="B103" s="10">
        <v>104634</v>
      </c>
      <c r="C103" s="10">
        <v>45635</v>
      </c>
      <c r="D103" s="10">
        <v>26429.3</v>
      </c>
      <c r="E103" s="10">
        <v>69883.5</v>
      </c>
      <c r="F103" s="10">
        <v>38925</v>
      </c>
      <c r="G103" s="10">
        <v>61226.080000000002</v>
      </c>
      <c r="H103" s="10">
        <v>34455</v>
      </c>
      <c r="I103" s="10">
        <v>44256</v>
      </c>
      <c r="J103" s="10">
        <v>82816</v>
      </c>
      <c r="K103" s="10">
        <v>177665</v>
      </c>
      <c r="L103" s="10">
        <v>97535.14</v>
      </c>
      <c r="M103" s="10">
        <v>43850.05</v>
      </c>
      <c r="N103" s="10">
        <f>B103+C103+D103+E103+F103+G103+H103+I103+J103+K103+L103+M103</f>
        <v>827310.07000000007</v>
      </c>
    </row>
    <row r="104" spans="1:14" x14ac:dyDescent="0.2">
      <c r="A104" s="17" t="s">
        <v>72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44896</v>
      </c>
      <c r="K104" s="10">
        <v>0</v>
      </c>
      <c r="L104" s="10">
        <v>0</v>
      </c>
      <c r="M104" s="10">
        <v>0</v>
      </c>
      <c r="N104" s="10">
        <f>B104+C104+D104+E104+F104+G104+H104+I104+J104+K104+L104+M104</f>
        <v>44896</v>
      </c>
    </row>
    <row r="105" spans="1:14" x14ac:dyDescent="0.2">
      <c r="A105" s="17" t="s">
        <v>73</v>
      </c>
      <c r="B105" s="10">
        <v>8708.08</v>
      </c>
      <c r="C105" s="10">
        <v>8454.61</v>
      </c>
      <c r="D105" s="10">
        <v>8999.4599999999991</v>
      </c>
      <c r="E105" s="10">
        <v>13449.7</v>
      </c>
      <c r="F105" s="10">
        <v>12929.22</v>
      </c>
      <c r="G105" s="10">
        <v>4373.75</v>
      </c>
      <c r="H105" s="10">
        <v>4619.05</v>
      </c>
      <c r="I105" s="10">
        <v>8384.81</v>
      </c>
      <c r="J105" s="10">
        <v>18009.21</v>
      </c>
      <c r="K105" s="10">
        <v>25063.919999999998</v>
      </c>
      <c r="L105" s="10">
        <v>30013.31</v>
      </c>
      <c r="M105" s="10">
        <v>31202.41</v>
      </c>
      <c r="N105" s="10">
        <f>B105+C105+D105+E105+F105+G105+H105+I105+J105+K105+L105+M105</f>
        <v>174207.53000000003</v>
      </c>
    </row>
    <row r="106" spans="1:14" x14ac:dyDescent="0.2">
      <c r="A106" s="17" t="s">
        <v>74</v>
      </c>
      <c r="B106" s="10">
        <v>39783</v>
      </c>
      <c r="C106" s="10">
        <v>101649.2</v>
      </c>
      <c r="D106" s="10">
        <v>125577.86</v>
      </c>
      <c r="E106" s="10">
        <v>108815.2</v>
      </c>
      <c r="F106" s="10">
        <v>30024.5</v>
      </c>
      <c r="G106" s="10">
        <v>36602</v>
      </c>
      <c r="H106" s="10">
        <v>80312</v>
      </c>
      <c r="I106" s="10">
        <v>5620</v>
      </c>
      <c r="J106" s="10">
        <v>35980</v>
      </c>
      <c r="K106" s="10">
        <v>29549</v>
      </c>
      <c r="L106" s="10">
        <v>41612</v>
      </c>
      <c r="M106" s="10">
        <v>131523</v>
      </c>
      <c r="N106" s="10">
        <f>B106+C106+D106+E106+F106+G106+H106+I106+J106+K106+L106+M106</f>
        <v>767047.76</v>
      </c>
    </row>
    <row r="107" spans="1:14" ht="4.95" customHeight="1" x14ac:dyDescent="0.2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 ht="4.95" customHeight="1" x14ac:dyDescent="0.2"/>
    <row r="109" spans="1:14" x14ac:dyDescent="0.2">
      <c r="A109" s="16" t="s">
        <v>75</v>
      </c>
      <c r="B109" s="9">
        <f t="shared" ref="B109:N109" si="42">SUM(B102:B106)</f>
        <v>153125.08000000002</v>
      </c>
      <c r="C109" s="9">
        <f t="shared" si="42"/>
        <v>157404.81</v>
      </c>
      <c r="D109" s="9">
        <f t="shared" si="42"/>
        <v>229919.62</v>
      </c>
      <c r="E109" s="9">
        <f t="shared" si="42"/>
        <v>236230.39999999999</v>
      </c>
      <c r="F109" s="9">
        <f t="shared" si="42"/>
        <v>81878.720000000001</v>
      </c>
      <c r="G109" s="9">
        <f t="shared" si="42"/>
        <v>102201.83</v>
      </c>
      <c r="H109" s="9">
        <f t="shared" si="42"/>
        <v>119386.05</v>
      </c>
      <c r="I109" s="9">
        <f t="shared" si="42"/>
        <v>58260.81</v>
      </c>
      <c r="J109" s="9">
        <f t="shared" si="42"/>
        <v>182744.21</v>
      </c>
      <c r="K109" s="9">
        <f t="shared" si="42"/>
        <v>237870.91999999998</v>
      </c>
      <c r="L109" s="9">
        <f t="shared" si="42"/>
        <v>169160.45</v>
      </c>
      <c r="M109" s="9">
        <f t="shared" si="42"/>
        <v>206893.46000000002</v>
      </c>
      <c r="N109" s="9">
        <f t="shared" si="42"/>
        <v>1935076.36</v>
      </c>
    </row>
    <row r="110" spans="1:14" ht="4.95" customHeight="1" x14ac:dyDescent="0.2"/>
    <row r="111" spans="1:14" x14ac:dyDescent="0.2">
      <c r="A111" s="16" t="s">
        <v>76</v>
      </c>
    </row>
    <row r="112" spans="1:14" x14ac:dyDescent="0.2">
      <c r="A112" s="17" t="s">
        <v>77</v>
      </c>
      <c r="B112" s="10">
        <v>33229</v>
      </c>
      <c r="C112" s="10">
        <v>29029</v>
      </c>
      <c r="D112" s="10">
        <v>34997</v>
      </c>
      <c r="E112" s="10">
        <v>32311</v>
      </c>
      <c r="F112" s="10">
        <v>34049</v>
      </c>
      <c r="G112" s="10">
        <v>35076</v>
      </c>
      <c r="H112" s="10">
        <v>36577</v>
      </c>
      <c r="I112" s="10">
        <v>36735</v>
      </c>
      <c r="J112" s="10">
        <v>35708</v>
      </c>
      <c r="K112" s="10">
        <v>36735</v>
      </c>
      <c r="L112" s="10">
        <v>29862</v>
      </c>
      <c r="M112" s="10">
        <v>29941</v>
      </c>
      <c r="N112" s="10">
        <f>B112+C112+D112+E112+F112+G112+H112+I112+J112+K112+L112+M112</f>
        <v>404249</v>
      </c>
    </row>
    <row r="113" spans="1:14" x14ac:dyDescent="0.2">
      <c r="A113" s="17" t="s">
        <v>78</v>
      </c>
      <c r="B113" s="10">
        <v>-8317.1</v>
      </c>
      <c r="C113" s="10">
        <v>-9865.9</v>
      </c>
      <c r="D113" s="10">
        <v>-16964.05</v>
      </c>
      <c r="E113" s="10">
        <v>-17907.34</v>
      </c>
      <c r="F113" s="10">
        <v>-10790.77</v>
      </c>
      <c r="G113" s="10">
        <v>-8785.06</v>
      </c>
      <c r="H113" s="10">
        <v>-5934.85</v>
      </c>
      <c r="I113" s="10">
        <v>-5552.99</v>
      </c>
      <c r="J113" s="10">
        <v>-6767.5</v>
      </c>
      <c r="K113" s="10">
        <v>-7795.1</v>
      </c>
      <c r="L113" s="10">
        <v>-5930.28</v>
      </c>
      <c r="M113" s="10">
        <v>-4631.95</v>
      </c>
      <c r="N113" s="10">
        <f>B113+C113+D113+E113+F113+G113+H113+I113+J113+K113+L113+M113</f>
        <v>-109242.89000000001</v>
      </c>
    </row>
    <row r="114" spans="1:14" x14ac:dyDescent="0.2">
      <c r="A114" s="17" t="s">
        <v>79</v>
      </c>
      <c r="B114" s="10">
        <v>8501.74</v>
      </c>
      <c r="C114" s="10">
        <v>14106.19</v>
      </c>
      <c r="D114" s="10">
        <v>17512.7</v>
      </c>
      <c r="E114" s="10">
        <v>11047.35</v>
      </c>
      <c r="F114" s="10">
        <v>16832.89</v>
      </c>
      <c r="G114" s="10">
        <v>11029.87</v>
      </c>
      <c r="H114" s="10">
        <v>5874.11</v>
      </c>
      <c r="I114" s="10">
        <v>10398.969999999999</v>
      </c>
      <c r="J114" s="10">
        <v>8453.6299999999992</v>
      </c>
      <c r="K114" s="10">
        <v>12306.1</v>
      </c>
      <c r="L114" s="10">
        <v>13333.33</v>
      </c>
      <c r="M114" s="10">
        <v>9352.1200000000008</v>
      </c>
      <c r="N114" s="10">
        <f>B114+C114+D114+E114+F114+G114+H114+I114+J114+K114+L114+M114</f>
        <v>138749</v>
      </c>
    </row>
    <row r="115" spans="1:14" x14ac:dyDescent="0.2">
      <c r="A115" s="17" t="s">
        <v>80</v>
      </c>
      <c r="B115" s="10">
        <v>0</v>
      </c>
      <c r="C115" s="10">
        <v>0</v>
      </c>
      <c r="D115" s="10">
        <v>15759.98</v>
      </c>
      <c r="E115" s="10">
        <v>595</v>
      </c>
      <c r="F115" s="10">
        <v>0</v>
      </c>
      <c r="G115" s="10">
        <v>0</v>
      </c>
      <c r="H115" s="10">
        <v>0</v>
      </c>
      <c r="I115" s="10">
        <v>-2780</v>
      </c>
      <c r="J115" s="10">
        <v>0</v>
      </c>
      <c r="K115" s="10">
        <v>0</v>
      </c>
      <c r="L115" s="10">
        <v>0</v>
      </c>
      <c r="M115" s="10">
        <v>0</v>
      </c>
      <c r="N115" s="10">
        <f>B115+C115+D115+E115+F115+G115+H115+I115+J115+K115+L115+M115</f>
        <v>13574.98</v>
      </c>
    </row>
    <row r="116" spans="1:14" ht="4.95" customHeight="1" x14ac:dyDescent="0.2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ht="4.95" customHeight="1" x14ac:dyDescent="0.2"/>
    <row r="118" spans="1:14" x14ac:dyDescent="0.2">
      <c r="A118" s="16" t="s">
        <v>81</v>
      </c>
      <c r="B118" s="9">
        <f t="shared" ref="B118:N118" si="43">SUM(B112:B115)</f>
        <v>33413.64</v>
      </c>
      <c r="C118" s="9">
        <f t="shared" si="43"/>
        <v>33269.29</v>
      </c>
      <c r="D118" s="9">
        <f t="shared" si="43"/>
        <v>51305.630000000005</v>
      </c>
      <c r="E118" s="9">
        <f t="shared" si="43"/>
        <v>26046.010000000002</v>
      </c>
      <c r="F118" s="9">
        <f t="shared" si="43"/>
        <v>40091.119999999995</v>
      </c>
      <c r="G118" s="9">
        <f t="shared" si="43"/>
        <v>37320.810000000005</v>
      </c>
      <c r="H118" s="9">
        <f t="shared" si="43"/>
        <v>36516.26</v>
      </c>
      <c r="I118" s="9">
        <f t="shared" si="43"/>
        <v>38800.980000000003</v>
      </c>
      <c r="J118" s="9">
        <f t="shared" si="43"/>
        <v>37394.129999999997</v>
      </c>
      <c r="K118" s="9">
        <f t="shared" si="43"/>
        <v>41246</v>
      </c>
      <c r="L118" s="9">
        <f t="shared" si="43"/>
        <v>37265.050000000003</v>
      </c>
      <c r="M118" s="9">
        <f t="shared" si="43"/>
        <v>34661.17</v>
      </c>
      <c r="N118" s="9">
        <f t="shared" si="43"/>
        <v>447330.08999999997</v>
      </c>
    </row>
    <row r="119" spans="1:14" ht="4.95" customHeight="1" x14ac:dyDescent="0.2"/>
    <row r="120" spans="1:14" ht="4.95" customHeight="1" x14ac:dyDescent="0.2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 ht="4.95" customHeight="1" x14ac:dyDescent="0.2"/>
    <row r="122" spans="1:14" x14ac:dyDescent="0.2">
      <c r="A122" s="16" t="s">
        <v>82</v>
      </c>
      <c r="B122" s="9">
        <f t="shared" ref="B122:N122" si="44">B99+B109+B118</f>
        <v>773826.04999999993</v>
      </c>
      <c r="C122" s="9">
        <f t="shared" si="44"/>
        <v>954863.37000000011</v>
      </c>
      <c r="D122" s="9">
        <f t="shared" si="44"/>
        <v>1374193.69</v>
      </c>
      <c r="E122" s="9">
        <f t="shared" si="44"/>
        <v>1347813.07</v>
      </c>
      <c r="F122" s="9">
        <f t="shared" si="44"/>
        <v>883836.72999999986</v>
      </c>
      <c r="G122" s="9">
        <f t="shared" si="44"/>
        <v>875661.1100000001</v>
      </c>
      <c r="H122" s="9">
        <f t="shared" si="44"/>
        <v>808048.55</v>
      </c>
      <c r="I122" s="9">
        <f t="shared" si="44"/>
        <v>751810.52</v>
      </c>
      <c r="J122" s="9">
        <f t="shared" si="44"/>
        <v>1006831.5</v>
      </c>
      <c r="K122" s="9">
        <f t="shared" si="44"/>
        <v>931694</v>
      </c>
      <c r="L122" s="9">
        <f t="shared" si="44"/>
        <v>756633.24</v>
      </c>
      <c r="M122" s="9">
        <f t="shared" si="44"/>
        <v>712164.78000000014</v>
      </c>
      <c r="N122" s="9">
        <f t="shared" si="44"/>
        <v>11177376.609999999</v>
      </c>
    </row>
    <row r="123" spans="1:14" x14ac:dyDescent="0.2">
      <c r="A123" s="16" t="s">
        <v>83</v>
      </c>
    </row>
    <row r="125" spans="1:14" x14ac:dyDescent="0.2">
      <c r="A125" s="16" t="s">
        <v>84</v>
      </c>
    </row>
    <row r="126" spans="1:14" x14ac:dyDescent="0.2">
      <c r="A126" s="16" t="s">
        <v>85</v>
      </c>
    </row>
    <row r="127" spans="1:14" x14ac:dyDescent="0.2">
      <c r="A127" s="17" t="s">
        <v>86</v>
      </c>
      <c r="B127" s="10">
        <v>4230.3999999999996</v>
      </c>
      <c r="C127" s="10">
        <v>4230.3999999999996</v>
      </c>
      <c r="D127" s="10">
        <v>4864.96</v>
      </c>
      <c r="E127" s="10">
        <v>4230.3999999999996</v>
      </c>
      <c r="F127" s="10">
        <v>4653.4399999999996</v>
      </c>
      <c r="G127" s="10">
        <v>4441.92</v>
      </c>
      <c r="H127" s="10">
        <v>4018.88</v>
      </c>
      <c r="I127" s="10">
        <v>4230.3999999999996</v>
      </c>
      <c r="J127" s="10">
        <v>4352</v>
      </c>
      <c r="K127" s="10">
        <v>4794.24</v>
      </c>
      <c r="L127" s="10">
        <v>4576.32</v>
      </c>
      <c r="M127" s="10">
        <v>4576.32</v>
      </c>
      <c r="N127" s="10">
        <f>B127+C127+D127+E127+F127+G127+H127+I127+J127+K127+L127+M127</f>
        <v>53199.679999999993</v>
      </c>
    </row>
    <row r="128" spans="1:14" x14ac:dyDescent="0.2">
      <c r="A128" s="17" t="s">
        <v>87</v>
      </c>
      <c r="B128" s="10">
        <v>3076.8</v>
      </c>
      <c r="C128" s="10">
        <v>3076.8</v>
      </c>
      <c r="D128" s="10">
        <v>3538.32</v>
      </c>
      <c r="E128" s="10">
        <v>3076.8</v>
      </c>
      <c r="F128" s="10">
        <v>3384.48</v>
      </c>
      <c r="G128" s="10">
        <v>3230.64</v>
      </c>
      <c r="H128" s="10">
        <v>3076.8</v>
      </c>
      <c r="I128" s="10">
        <v>3538.32</v>
      </c>
      <c r="J128" s="10">
        <v>3006.48</v>
      </c>
      <c r="K128" s="10">
        <v>3486.56</v>
      </c>
      <c r="L128" s="10">
        <v>3011.12</v>
      </c>
      <c r="M128" s="10">
        <v>3169.6</v>
      </c>
      <c r="N128" s="10">
        <f>B128+C128+D128+E128+F128+G128+H128+I128+J128+K128+L128+M128</f>
        <v>38672.720000000001</v>
      </c>
    </row>
    <row r="129" spans="1:14" x14ac:dyDescent="0.2">
      <c r="A129" s="17" t="s">
        <v>88</v>
      </c>
      <c r="B129" s="10">
        <v>8884.48</v>
      </c>
      <c r="C129" s="10">
        <v>8076.8</v>
      </c>
      <c r="D129" s="10">
        <v>9288.32</v>
      </c>
      <c r="E129" s="10">
        <v>8076.8</v>
      </c>
      <c r="F129" s="10">
        <v>5576.8</v>
      </c>
      <c r="G129" s="10">
        <v>8576.7999999999993</v>
      </c>
      <c r="H129" s="10">
        <v>8326.7999999999993</v>
      </c>
      <c r="I129" s="10">
        <v>9726.9599999999991</v>
      </c>
      <c r="J129" s="10">
        <v>9011.36</v>
      </c>
      <c r="K129" s="10">
        <v>9283.68</v>
      </c>
      <c r="L129" s="10">
        <v>7723.52</v>
      </c>
      <c r="M129" s="10">
        <v>7869.12</v>
      </c>
      <c r="N129" s="10">
        <f>B129+C129+D129+E129+F129+G129+H129+I129+J129+K129+L129+M129</f>
        <v>100421.44000000002</v>
      </c>
    </row>
    <row r="130" spans="1:14" x14ac:dyDescent="0.2">
      <c r="A130" s="17" t="s">
        <v>89</v>
      </c>
      <c r="B130" s="10">
        <v>2470.13</v>
      </c>
      <c r="C130" s="10">
        <v>2242.77</v>
      </c>
      <c r="D130" s="10">
        <v>1757.15</v>
      </c>
      <c r="E130" s="10">
        <v>0</v>
      </c>
      <c r="F130" s="10">
        <v>1246.5</v>
      </c>
      <c r="G130" s="10">
        <v>0</v>
      </c>
      <c r="H130" s="10">
        <v>0</v>
      </c>
      <c r="I130" s="10">
        <v>0</v>
      </c>
      <c r="J130" s="10">
        <v>5329.1</v>
      </c>
      <c r="K130" s="10">
        <v>5645.94</v>
      </c>
      <c r="L130" s="10">
        <v>5334.26</v>
      </c>
      <c r="M130" s="10">
        <v>4394.7299999999996</v>
      </c>
      <c r="N130" s="10">
        <f>B130+C130+D130+E130+F130+G130+H130+I130+J130+K130+L130+M130</f>
        <v>28420.579999999998</v>
      </c>
    </row>
    <row r="131" spans="1:14" x14ac:dyDescent="0.2">
      <c r="A131" s="17" t="s">
        <v>90</v>
      </c>
      <c r="B131" s="10">
        <v>23715.52</v>
      </c>
      <c r="C131" s="10">
        <v>25213.53</v>
      </c>
      <c r="D131" s="10">
        <v>39713.99</v>
      </c>
      <c r="E131" s="10">
        <v>23561.81</v>
      </c>
      <c r="F131" s="10">
        <v>24914.73</v>
      </c>
      <c r="G131" s="10">
        <v>18719.93</v>
      </c>
      <c r="H131" s="10">
        <v>19115.52</v>
      </c>
      <c r="I131" s="10">
        <v>19088.53</v>
      </c>
      <c r="J131" s="10">
        <v>19524.87</v>
      </c>
      <c r="K131" s="10">
        <v>18303.29</v>
      </c>
      <c r="L131" s="10">
        <v>19472.43</v>
      </c>
      <c r="M131" s="10">
        <v>19882.47</v>
      </c>
      <c r="N131" s="10">
        <f>B131+C131+D131+E131+F131+G131+H131+I131+J131+K131+L131+M131</f>
        <v>271226.62</v>
      </c>
    </row>
    <row r="132" spans="1:14" x14ac:dyDescent="0.2">
      <c r="A132" s="16" t="s">
        <v>91</v>
      </c>
      <c r="B132" s="9">
        <f t="shared" ref="B132:N132" si="45">SUM(B127:B131)</f>
        <v>42377.33</v>
      </c>
      <c r="C132" s="9">
        <f t="shared" si="45"/>
        <v>42840.3</v>
      </c>
      <c r="D132" s="9">
        <f t="shared" si="45"/>
        <v>59162.74</v>
      </c>
      <c r="E132" s="9">
        <f t="shared" si="45"/>
        <v>38945.81</v>
      </c>
      <c r="F132" s="9">
        <f t="shared" si="45"/>
        <v>39775.949999999997</v>
      </c>
      <c r="G132" s="9">
        <f t="shared" si="45"/>
        <v>34969.29</v>
      </c>
      <c r="H132" s="9">
        <f t="shared" si="45"/>
        <v>34538</v>
      </c>
      <c r="I132" s="9">
        <f t="shared" si="45"/>
        <v>36584.21</v>
      </c>
      <c r="J132" s="9">
        <f t="shared" si="45"/>
        <v>41223.81</v>
      </c>
      <c r="K132" s="9">
        <f t="shared" si="45"/>
        <v>41513.71</v>
      </c>
      <c r="L132" s="9">
        <f t="shared" si="45"/>
        <v>40117.65</v>
      </c>
      <c r="M132" s="9">
        <f t="shared" si="45"/>
        <v>39892.240000000005</v>
      </c>
      <c r="N132" s="9">
        <f t="shared" si="45"/>
        <v>491941.04000000004</v>
      </c>
    </row>
    <row r="134" spans="1:14" x14ac:dyDescent="0.2">
      <c r="A134" s="16" t="s">
        <v>92</v>
      </c>
    </row>
    <row r="135" spans="1:14" x14ac:dyDescent="0.2">
      <c r="A135" s="17" t="s">
        <v>93</v>
      </c>
      <c r="B135" s="10">
        <v>5403.9</v>
      </c>
      <c r="C135" s="10">
        <v>4489.71</v>
      </c>
      <c r="D135" s="10">
        <v>5958.2</v>
      </c>
      <c r="E135" s="10">
        <v>7505.38</v>
      </c>
      <c r="F135" s="10">
        <v>5091.29</v>
      </c>
      <c r="G135" s="10">
        <v>5548.99</v>
      </c>
      <c r="H135" s="10">
        <v>5032.0600000000004</v>
      </c>
      <c r="I135" s="10">
        <v>4848.63</v>
      </c>
      <c r="J135" s="10">
        <v>5260.52</v>
      </c>
      <c r="K135" s="10">
        <v>5144.88</v>
      </c>
      <c r="L135" s="10">
        <v>4782.3900000000003</v>
      </c>
      <c r="M135" s="10">
        <v>5227.26</v>
      </c>
      <c r="N135" s="10">
        <f t="shared" ref="N135:N143" si="46">B135+C135+D135+E135+F135+G135+H135+I135+J135+K135+L135+M135</f>
        <v>64293.209999999992</v>
      </c>
    </row>
    <row r="136" spans="1:14" x14ac:dyDescent="0.2">
      <c r="A136" s="17" t="s">
        <v>94</v>
      </c>
      <c r="B136" s="10">
        <v>29635.32</v>
      </c>
      <c r="C136" s="10">
        <v>29375.59</v>
      </c>
      <c r="D136" s="10">
        <v>37610.230000000003</v>
      </c>
      <c r="E136" s="10">
        <v>30337.360000000001</v>
      </c>
      <c r="F136" s="10">
        <v>26248.34</v>
      </c>
      <c r="G136" s="10">
        <v>31215.16</v>
      </c>
      <c r="H136" s="10">
        <v>33061.1</v>
      </c>
      <c r="I136" s="10">
        <v>29117.84</v>
      </c>
      <c r="J136" s="10">
        <v>31792.080000000002</v>
      </c>
      <c r="K136" s="10">
        <v>32194.57</v>
      </c>
      <c r="L136" s="10">
        <v>28598.77</v>
      </c>
      <c r="M136" s="10">
        <v>29186.67</v>
      </c>
      <c r="N136" s="10">
        <f t="shared" si="46"/>
        <v>368373.03</v>
      </c>
    </row>
    <row r="137" spans="1:14" x14ac:dyDescent="0.2">
      <c r="A137" s="17" t="s">
        <v>95</v>
      </c>
      <c r="B137" s="10">
        <v>4014.96</v>
      </c>
      <c r="C137" s="10">
        <v>1849.11</v>
      </c>
      <c r="D137" s="10">
        <v>2285.37</v>
      </c>
      <c r="E137" s="10">
        <v>2020.74</v>
      </c>
      <c r="F137" s="10">
        <v>1551.22</v>
      </c>
      <c r="G137" s="10">
        <v>2215.04</v>
      </c>
      <c r="H137" s="10">
        <v>4376.3100000000004</v>
      </c>
      <c r="I137" s="10">
        <v>4170.22</v>
      </c>
      <c r="J137" s="10">
        <v>4169.3100000000004</v>
      </c>
      <c r="K137" s="10">
        <v>3899.98</v>
      </c>
      <c r="L137" s="10">
        <v>3164.75</v>
      </c>
      <c r="M137" s="10">
        <v>3551.98</v>
      </c>
      <c r="N137" s="10">
        <f t="shared" si="46"/>
        <v>37268.990000000005</v>
      </c>
    </row>
    <row r="138" spans="1:14" x14ac:dyDescent="0.2">
      <c r="A138" s="17" t="s">
        <v>96</v>
      </c>
      <c r="B138" s="10">
        <v>3613.38</v>
      </c>
      <c r="C138" s="10">
        <v>5002.97</v>
      </c>
      <c r="D138" s="10">
        <v>5708.07</v>
      </c>
      <c r="E138" s="10">
        <v>5078.0600000000004</v>
      </c>
      <c r="F138" s="10">
        <v>4869.4399999999996</v>
      </c>
      <c r="G138" s="10">
        <v>4484.9399999999996</v>
      </c>
      <c r="H138" s="10">
        <v>5341.66</v>
      </c>
      <c r="I138" s="10">
        <v>4524.82</v>
      </c>
      <c r="J138" s="10">
        <v>5482.58</v>
      </c>
      <c r="K138" s="10">
        <v>5061.51</v>
      </c>
      <c r="L138" s="10">
        <v>4442.17</v>
      </c>
      <c r="M138" s="10">
        <v>4327.75</v>
      </c>
      <c r="N138" s="10">
        <f t="shared" si="46"/>
        <v>57937.35</v>
      </c>
    </row>
    <row r="139" spans="1:14" x14ac:dyDescent="0.2">
      <c r="A139" s="17" t="s">
        <v>97</v>
      </c>
      <c r="B139" s="10">
        <v>3620.53</v>
      </c>
      <c r="C139" s="10">
        <v>2627.76</v>
      </c>
      <c r="D139" s="10">
        <v>3450.96</v>
      </c>
      <c r="E139" s="10">
        <v>3372</v>
      </c>
      <c r="F139" s="10">
        <v>3425.37</v>
      </c>
      <c r="G139" s="10">
        <v>2918.46</v>
      </c>
      <c r="H139" s="10">
        <v>2607.5700000000002</v>
      </c>
      <c r="I139" s="10">
        <v>1982.94</v>
      </c>
      <c r="J139" s="10">
        <v>2941.87</v>
      </c>
      <c r="K139" s="10">
        <v>2818.76</v>
      </c>
      <c r="L139" s="10">
        <v>3229.11</v>
      </c>
      <c r="M139" s="10">
        <v>2534.52</v>
      </c>
      <c r="N139" s="10">
        <f t="shared" si="46"/>
        <v>35529.849999999991</v>
      </c>
    </row>
    <row r="140" spans="1:14" x14ac:dyDescent="0.2">
      <c r="A140" s="17" t="s">
        <v>98</v>
      </c>
      <c r="B140" s="10">
        <v>7597.15</v>
      </c>
      <c r="C140" s="10">
        <v>8301.34</v>
      </c>
      <c r="D140" s="10">
        <v>7278.9</v>
      </c>
      <c r="E140" s="10">
        <v>7370.76</v>
      </c>
      <c r="F140" s="10">
        <v>8805.31</v>
      </c>
      <c r="G140" s="10">
        <v>12419.96</v>
      </c>
      <c r="H140" s="10">
        <v>12707.59</v>
      </c>
      <c r="I140" s="10">
        <v>8770.9699999999993</v>
      </c>
      <c r="J140" s="10">
        <v>7086.98</v>
      </c>
      <c r="K140" s="10">
        <v>10004.120000000001</v>
      </c>
      <c r="L140" s="10">
        <v>8070.93</v>
      </c>
      <c r="M140" s="10">
        <v>9808.16</v>
      </c>
      <c r="N140" s="10">
        <f t="shared" si="46"/>
        <v>108222.16999999998</v>
      </c>
    </row>
    <row r="141" spans="1:14" x14ac:dyDescent="0.2">
      <c r="A141" s="17" t="s">
        <v>99</v>
      </c>
      <c r="B141" s="10">
        <v>5151.7700000000004</v>
      </c>
      <c r="C141" s="10">
        <v>4479.76</v>
      </c>
      <c r="D141" s="10">
        <v>6870.03</v>
      </c>
      <c r="E141" s="10">
        <v>6633.62</v>
      </c>
      <c r="F141" s="10">
        <v>7245.74</v>
      </c>
      <c r="G141" s="10">
        <v>6538.08</v>
      </c>
      <c r="H141" s="10">
        <v>8219.0499999999993</v>
      </c>
      <c r="I141" s="10">
        <v>6827.37</v>
      </c>
      <c r="J141" s="10">
        <v>4725.88</v>
      </c>
      <c r="K141" s="10">
        <v>5646.16</v>
      </c>
      <c r="L141" s="10">
        <v>4853.28</v>
      </c>
      <c r="M141" s="10">
        <v>4806.29</v>
      </c>
      <c r="N141" s="10">
        <f t="shared" si="46"/>
        <v>71997.03</v>
      </c>
    </row>
    <row r="142" spans="1:14" x14ac:dyDescent="0.2">
      <c r="A142" s="17" t="s">
        <v>100</v>
      </c>
      <c r="B142" s="10">
        <v>11887.54</v>
      </c>
      <c r="C142" s="10">
        <v>12127.95</v>
      </c>
      <c r="D142" s="10">
        <v>14180.2</v>
      </c>
      <c r="E142" s="10">
        <v>13456.95</v>
      </c>
      <c r="F142" s="10">
        <v>12385.82</v>
      </c>
      <c r="G142" s="10">
        <v>12492.47</v>
      </c>
      <c r="H142" s="10">
        <v>11368.33</v>
      </c>
      <c r="I142" s="10">
        <v>11083.22</v>
      </c>
      <c r="J142" s="10">
        <v>11725.34</v>
      </c>
      <c r="K142" s="10">
        <v>12775.31</v>
      </c>
      <c r="L142" s="10">
        <v>11831.59</v>
      </c>
      <c r="M142" s="10">
        <v>12951.04</v>
      </c>
      <c r="N142" s="10">
        <f t="shared" si="46"/>
        <v>148265.76</v>
      </c>
    </row>
    <row r="143" spans="1:14" x14ac:dyDescent="0.2">
      <c r="A143" s="17" t="s">
        <v>101</v>
      </c>
      <c r="B143" s="10">
        <v>12539.95</v>
      </c>
      <c r="C143" s="10">
        <v>14278.42</v>
      </c>
      <c r="D143" s="10">
        <v>18574.55</v>
      </c>
      <c r="E143" s="10">
        <v>33955.78</v>
      </c>
      <c r="F143" s="10">
        <v>19406.21</v>
      </c>
      <c r="G143" s="10">
        <v>19771.330000000002</v>
      </c>
      <c r="H143" s="10">
        <v>12803.54</v>
      </c>
      <c r="I143" s="10">
        <v>5629.9</v>
      </c>
      <c r="J143" s="10">
        <v>11384.22</v>
      </c>
      <c r="K143" s="10">
        <v>14385.74</v>
      </c>
      <c r="L143" s="10">
        <v>12920.17</v>
      </c>
      <c r="M143" s="10">
        <v>13475.22</v>
      </c>
      <c r="N143" s="10">
        <f t="shared" si="46"/>
        <v>189125.03</v>
      </c>
    </row>
    <row r="144" spans="1:14" x14ac:dyDescent="0.2">
      <c r="A144" s="16" t="s">
        <v>102</v>
      </c>
      <c r="B144" s="9">
        <f t="shared" ref="B144:N144" si="47">SUM(B135:B143)</f>
        <v>83464.499999999985</v>
      </c>
      <c r="C144" s="9">
        <f t="shared" si="47"/>
        <v>82532.610000000015</v>
      </c>
      <c r="D144" s="9">
        <f t="shared" si="47"/>
        <v>101916.51000000001</v>
      </c>
      <c r="E144" s="9">
        <f t="shared" si="47"/>
        <v>109730.65</v>
      </c>
      <c r="F144" s="9">
        <f t="shared" si="47"/>
        <v>89028.739999999991</v>
      </c>
      <c r="G144" s="9">
        <f t="shared" si="47"/>
        <v>97604.430000000008</v>
      </c>
      <c r="H144" s="9">
        <f t="shared" si="47"/>
        <v>95517.209999999992</v>
      </c>
      <c r="I144" s="9">
        <f t="shared" si="47"/>
        <v>76955.91</v>
      </c>
      <c r="J144" s="9">
        <f t="shared" si="47"/>
        <v>84568.780000000013</v>
      </c>
      <c r="K144" s="9">
        <f t="shared" si="47"/>
        <v>91931.030000000013</v>
      </c>
      <c r="L144" s="9">
        <f t="shared" si="47"/>
        <v>81893.16</v>
      </c>
      <c r="M144" s="9">
        <f t="shared" si="47"/>
        <v>85868.89</v>
      </c>
      <c r="N144" s="9">
        <f t="shared" si="47"/>
        <v>1081012.42</v>
      </c>
    </row>
    <row r="145" spans="1:14" x14ac:dyDescent="0.2">
      <c r="A145" s="16" t="s">
        <v>103</v>
      </c>
      <c r="B145" s="9">
        <f t="shared" ref="B145:N145" si="48">B132+B144</f>
        <v>125841.82999999999</v>
      </c>
      <c r="C145" s="9">
        <f t="shared" si="48"/>
        <v>125372.91000000002</v>
      </c>
      <c r="D145" s="9">
        <f t="shared" si="48"/>
        <v>161079.25</v>
      </c>
      <c r="E145" s="9">
        <f t="shared" si="48"/>
        <v>148676.46</v>
      </c>
      <c r="F145" s="9">
        <f t="shared" si="48"/>
        <v>128804.68999999999</v>
      </c>
      <c r="G145" s="9">
        <f t="shared" si="48"/>
        <v>132573.72</v>
      </c>
      <c r="H145" s="9">
        <f t="shared" si="48"/>
        <v>130055.20999999999</v>
      </c>
      <c r="I145" s="9">
        <f t="shared" si="48"/>
        <v>113540.12</v>
      </c>
      <c r="J145" s="9">
        <f t="shared" si="48"/>
        <v>125792.59000000001</v>
      </c>
      <c r="K145" s="9">
        <f t="shared" si="48"/>
        <v>133444.74000000002</v>
      </c>
      <c r="L145" s="9">
        <f t="shared" si="48"/>
        <v>122010.81</v>
      </c>
      <c r="M145" s="9">
        <f t="shared" si="48"/>
        <v>125761.13</v>
      </c>
      <c r="N145" s="9">
        <f t="shared" si="48"/>
        <v>1572953.46</v>
      </c>
    </row>
    <row r="147" spans="1:14" x14ac:dyDescent="0.2">
      <c r="A147" s="16" t="s">
        <v>104</v>
      </c>
    </row>
    <row r="148" spans="1:14" x14ac:dyDescent="0.2">
      <c r="A148" s="17" t="s">
        <v>105</v>
      </c>
      <c r="B148" s="10">
        <v>350</v>
      </c>
      <c r="C148" s="10">
        <v>0</v>
      </c>
      <c r="D148" s="10">
        <v>0</v>
      </c>
      <c r="E148" s="10">
        <v>250</v>
      </c>
      <c r="F148" s="10">
        <v>0</v>
      </c>
      <c r="G148" s="10">
        <v>635.66999999999996</v>
      </c>
      <c r="H148" s="10">
        <v>200</v>
      </c>
      <c r="I148" s="10">
        <v>0</v>
      </c>
      <c r="J148" s="10">
        <v>100</v>
      </c>
      <c r="K148" s="10">
        <v>0</v>
      </c>
      <c r="L148" s="10">
        <v>1823.89</v>
      </c>
      <c r="M148" s="10">
        <v>0</v>
      </c>
      <c r="N148" s="10">
        <f t="shared" ref="N148:N154" si="49">B148+C148+D148+E148+F148+G148+H148+I148+J148+K148+L148+M148</f>
        <v>3359.5600000000004</v>
      </c>
    </row>
    <row r="149" spans="1:14" x14ac:dyDescent="0.2">
      <c r="A149" s="17" t="s">
        <v>106</v>
      </c>
      <c r="B149" s="10">
        <v>14682.42</v>
      </c>
      <c r="C149" s="10">
        <v>15873.38</v>
      </c>
      <c r="D149" s="10">
        <v>11734.05</v>
      </c>
      <c r="E149" s="10">
        <v>17932.25</v>
      </c>
      <c r="F149" s="10">
        <v>9291.57</v>
      </c>
      <c r="G149" s="10">
        <v>9211.7900000000009</v>
      </c>
      <c r="H149" s="10">
        <v>9295.58</v>
      </c>
      <c r="I149" s="10">
        <v>8712.9699999999993</v>
      </c>
      <c r="J149" s="10">
        <v>14117.6</v>
      </c>
      <c r="K149" s="10">
        <v>9405.7999999999993</v>
      </c>
      <c r="L149" s="10">
        <v>9828.77</v>
      </c>
      <c r="M149" s="10">
        <v>9060.39</v>
      </c>
      <c r="N149" s="10">
        <f t="shared" si="49"/>
        <v>139146.57</v>
      </c>
    </row>
    <row r="150" spans="1:14" x14ac:dyDescent="0.2">
      <c r="A150" s="17" t="s">
        <v>107</v>
      </c>
      <c r="B150" s="10">
        <v>958.99</v>
      </c>
      <c r="C150" s="10">
        <v>994.32</v>
      </c>
      <c r="D150" s="10">
        <v>976.68</v>
      </c>
      <c r="E150" s="10">
        <v>961.02</v>
      </c>
      <c r="F150" s="10">
        <v>914.64</v>
      </c>
      <c r="G150" s="10">
        <v>829.4</v>
      </c>
      <c r="H150" s="10">
        <v>915.6</v>
      </c>
      <c r="I150" s="10">
        <v>662.43</v>
      </c>
      <c r="J150" s="10">
        <v>673.12</v>
      </c>
      <c r="K150" s="10">
        <v>655.47</v>
      </c>
      <c r="L150" s="10">
        <v>672.36</v>
      </c>
      <c r="M150" s="10">
        <v>680.56</v>
      </c>
      <c r="N150" s="10">
        <f t="shared" si="49"/>
        <v>9894.59</v>
      </c>
    </row>
    <row r="151" spans="1:14" x14ac:dyDescent="0.2">
      <c r="A151" s="17" t="s">
        <v>108</v>
      </c>
      <c r="B151" s="10">
        <v>1884.52</v>
      </c>
      <c r="C151" s="10">
        <v>3381.87</v>
      </c>
      <c r="D151" s="10">
        <v>2773.33</v>
      </c>
      <c r="E151" s="10">
        <v>1766.15</v>
      </c>
      <c r="F151" s="10">
        <v>2765.38</v>
      </c>
      <c r="G151" s="10">
        <v>2296.13</v>
      </c>
      <c r="H151" s="10">
        <v>3386.1</v>
      </c>
      <c r="I151" s="10">
        <v>2683.85</v>
      </c>
      <c r="J151" s="10">
        <v>1689.84</v>
      </c>
      <c r="K151" s="10">
        <v>3467.32</v>
      </c>
      <c r="L151" s="10">
        <v>3037.96</v>
      </c>
      <c r="M151" s="10">
        <v>3198.43</v>
      </c>
      <c r="N151" s="10">
        <f t="shared" si="49"/>
        <v>32330.879999999997</v>
      </c>
    </row>
    <row r="152" spans="1:14" x14ac:dyDescent="0.2">
      <c r="A152" s="17" t="s">
        <v>109</v>
      </c>
      <c r="B152" s="10">
        <v>432</v>
      </c>
      <c r="C152" s="10">
        <v>648</v>
      </c>
      <c r="D152" s="10">
        <v>120</v>
      </c>
      <c r="E152" s="10">
        <v>1275.68</v>
      </c>
      <c r="F152" s="10">
        <v>1882</v>
      </c>
      <c r="G152" s="10">
        <v>1904.08</v>
      </c>
      <c r="H152" s="10">
        <v>428</v>
      </c>
      <c r="I152" s="10">
        <v>5447.52</v>
      </c>
      <c r="J152" s="10">
        <v>3233.2</v>
      </c>
      <c r="K152" s="10">
        <v>2230.98</v>
      </c>
      <c r="L152" s="10">
        <v>3076.19</v>
      </c>
      <c r="M152" s="10">
        <v>1748.32</v>
      </c>
      <c r="N152" s="10">
        <f t="shared" si="49"/>
        <v>22425.969999999998</v>
      </c>
    </row>
    <row r="153" spans="1:14" x14ac:dyDescent="0.2">
      <c r="A153" s="17" t="s">
        <v>110</v>
      </c>
      <c r="B153" s="10">
        <v>356</v>
      </c>
      <c r="C153" s="10">
        <v>360</v>
      </c>
      <c r="D153" s="10">
        <v>568</v>
      </c>
      <c r="E153" s="10">
        <v>224</v>
      </c>
      <c r="F153" s="10">
        <v>1519.36</v>
      </c>
      <c r="G153" s="10">
        <v>1396</v>
      </c>
      <c r="H153" s="10">
        <v>944</v>
      </c>
      <c r="I153" s="10">
        <v>1153.8399999999999</v>
      </c>
      <c r="J153" s="10">
        <v>3009.35</v>
      </c>
      <c r="K153" s="10">
        <v>643.20000000000005</v>
      </c>
      <c r="L153" s="10">
        <v>812.88</v>
      </c>
      <c r="M153" s="10">
        <v>788.8</v>
      </c>
      <c r="N153" s="10">
        <f t="shared" si="49"/>
        <v>11775.429999999998</v>
      </c>
    </row>
    <row r="154" spans="1:14" x14ac:dyDescent="0.2">
      <c r="A154" s="17" t="s">
        <v>111</v>
      </c>
      <c r="B154" s="10">
        <v>5757.9</v>
      </c>
      <c r="C154" s="10">
        <v>128</v>
      </c>
      <c r="D154" s="10">
        <v>360</v>
      </c>
      <c r="E154" s="10">
        <v>556</v>
      </c>
      <c r="F154" s="10">
        <v>497.84</v>
      </c>
      <c r="G154" s="10">
        <v>3167.19</v>
      </c>
      <c r="H154" s="10">
        <v>3412.56</v>
      </c>
      <c r="I154" s="10">
        <v>679.52</v>
      </c>
      <c r="J154" s="10">
        <v>3930.02</v>
      </c>
      <c r="K154" s="10">
        <v>449.76</v>
      </c>
      <c r="L154" s="10">
        <v>4156.2700000000004</v>
      </c>
      <c r="M154" s="10">
        <v>2058.7199999999998</v>
      </c>
      <c r="N154" s="10">
        <f t="shared" si="49"/>
        <v>25153.78</v>
      </c>
    </row>
    <row r="155" spans="1:14" x14ac:dyDescent="0.2">
      <c r="A155" s="16" t="s">
        <v>112</v>
      </c>
      <c r="B155" s="9">
        <f t="shared" ref="B155:N155" si="50">SUM(B148:B154)</f>
        <v>24421.83</v>
      </c>
      <c r="C155" s="9">
        <f t="shared" si="50"/>
        <v>21385.57</v>
      </c>
      <c r="D155" s="9">
        <f t="shared" si="50"/>
        <v>16532.059999999998</v>
      </c>
      <c r="E155" s="9">
        <f t="shared" si="50"/>
        <v>22965.100000000002</v>
      </c>
      <c r="F155" s="9">
        <f t="shared" si="50"/>
        <v>16870.79</v>
      </c>
      <c r="G155" s="9">
        <f t="shared" si="50"/>
        <v>19440.260000000002</v>
      </c>
      <c r="H155" s="9">
        <f t="shared" si="50"/>
        <v>18581.84</v>
      </c>
      <c r="I155" s="9">
        <f t="shared" si="50"/>
        <v>19340.13</v>
      </c>
      <c r="J155" s="9">
        <f t="shared" si="50"/>
        <v>26753.13</v>
      </c>
      <c r="K155" s="9">
        <f t="shared" si="50"/>
        <v>16852.529999999995</v>
      </c>
      <c r="L155" s="9">
        <f t="shared" si="50"/>
        <v>23408.32</v>
      </c>
      <c r="M155" s="9">
        <f t="shared" si="50"/>
        <v>17535.219999999998</v>
      </c>
      <c r="N155" s="9">
        <f t="shared" si="50"/>
        <v>244086.78</v>
      </c>
    </row>
    <row r="156" spans="1:14" ht="4.95" customHeight="1" x14ac:dyDescent="0.2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 ht="4.95" customHeight="1" x14ac:dyDescent="0.2"/>
    <row r="158" spans="1:14" x14ac:dyDescent="0.2">
      <c r="A158" s="16" t="s">
        <v>113</v>
      </c>
      <c r="B158" s="9">
        <f t="shared" ref="B158:N158" si="51">B145+B155</f>
        <v>150263.65999999997</v>
      </c>
      <c r="C158" s="9">
        <f t="shared" si="51"/>
        <v>146758.48000000001</v>
      </c>
      <c r="D158" s="9">
        <f t="shared" si="51"/>
        <v>177611.31</v>
      </c>
      <c r="E158" s="9">
        <f t="shared" si="51"/>
        <v>171641.56</v>
      </c>
      <c r="F158" s="9">
        <f t="shared" si="51"/>
        <v>145675.47999999998</v>
      </c>
      <c r="G158" s="9">
        <f t="shared" si="51"/>
        <v>152013.98000000001</v>
      </c>
      <c r="H158" s="9">
        <f t="shared" si="51"/>
        <v>148637.04999999999</v>
      </c>
      <c r="I158" s="9">
        <f t="shared" si="51"/>
        <v>132880.25</v>
      </c>
      <c r="J158" s="9">
        <f t="shared" si="51"/>
        <v>152545.72</v>
      </c>
      <c r="K158" s="9">
        <f t="shared" si="51"/>
        <v>150297.27000000002</v>
      </c>
      <c r="L158" s="9">
        <f t="shared" si="51"/>
        <v>145419.13</v>
      </c>
      <c r="M158" s="9">
        <f t="shared" si="51"/>
        <v>143296.35</v>
      </c>
      <c r="N158" s="9">
        <f t="shared" si="51"/>
        <v>1817040.24</v>
      </c>
    </row>
    <row r="159" spans="1:14" ht="4.95" customHeight="1" x14ac:dyDescent="0.2"/>
    <row r="160" spans="1:14" x14ac:dyDescent="0.2">
      <c r="A160" s="16" t="s">
        <v>114</v>
      </c>
    </row>
    <row r="161" spans="1:14" x14ac:dyDescent="0.2">
      <c r="A161" s="17" t="s">
        <v>115</v>
      </c>
      <c r="B161" s="10">
        <v>2147.96</v>
      </c>
      <c r="C161" s="10">
        <v>933.62</v>
      </c>
      <c r="D161" s="10">
        <v>1966.62</v>
      </c>
      <c r="E161" s="10">
        <v>1345.2</v>
      </c>
      <c r="F161" s="10">
        <v>1185.6199999999999</v>
      </c>
      <c r="G161" s="10">
        <v>1830.5</v>
      </c>
      <c r="H161" s="10">
        <v>1835.77</v>
      </c>
      <c r="I161" s="10">
        <v>1978.39</v>
      </c>
      <c r="J161" s="10">
        <v>33.130000000000003</v>
      </c>
      <c r="K161" s="10">
        <v>1815.31</v>
      </c>
      <c r="L161" s="10">
        <v>1056.67</v>
      </c>
      <c r="M161" s="10">
        <v>1385.11</v>
      </c>
      <c r="N161" s="10">
        <f t="shared" ref="N161:N182" si="52">B161+C161+D161+E161+F161+G161+H161+I161+J161+K161+L161+M161</f>
        <v>17513.899999999998</v>
      </c>
    </row>
    <row r="162" spans="1:14" x14ac:dyDescent="0.2">
      <c r="A162" s="17" t="s">
        <v>116</v>
      </c>
      <c r="B162" s="10">
        <v>22996.75</v>
      </c>
      <c r="C162" s="10">
        <v>33347.64</v>
      </c>
      <c r="D162" s="10">
        <v>30155.09</v>
      </c>
      <c r="E162" s="10">
        <v>28773.26</v>
      </c>
      <c r="F162" s="10">
        <v>28872.91</v>
      </c>
      <c r="G162" s="10">
        <v>26483.279999999999</v>
      </c>
      <c r="H162" s="10">
        <v>24012.02</v>
      </c>
      <c r="I162" s="10">
        <v>25647.69</v>
      </c>
      <c r="J162" s="10">
        <v>27149.91</v>
      </c>
      <c r="K162" s="10">
        <v>25384.37</v>
      </c>
      <c r="L162" s="10">
        <v>23898.66</v>
      </c>
      <c r="M162" s="10">
        <v>17191.54</v>
      </c>
      <c r="N162" s="10">
        <f t="shared" si="52"/>
        <v>313913.11999999994</v>
      </c>
    </row>
    <row r="163" spans="1:14" x14ac:dyDescent="0.2">
      <c r="A163" s="17" t="s">
        <v>117</v>
      </c>
      <c r="B163" s="10">
        <v>4000</v>
      </c>
      <c r="C163" s="10">
        <v>4034.87</v>
      </c>
      <c r="D163" s="10">
        <v>4034.87</v>
      </c>
      <c r="E163" s="10">
        <v>4034.87</v>
      </c>
      <c r="F163" s="10">
        <v>4034.87</v>
      </c>
      <c r="G163" s="10">
        <v>4034.87</v>
      </c>
      <c r="H163" s="10">
        <v>4034.87</v>
      </c>
      <c r="I163" s="10">
        <v>4034.87</v>
      </c>
      <c r="J163" s="10">
        <v>4034.87</v>
      </c>
      <c r="K163" s="10">
        <v>4034.87</v>
      </c>
      <c r="L163" s="10">
        <v>4034.87</v>
      </c>
      <c r="M163" s="10">
        <v>4108.49</v>
      </c>
      <c r="N163" s="10">
        <f t="shared" si="52"/>
        <v>48457.19</v>
      </c>
    </row>
    <row r="164" spans="1:14" x14ac:dyDescent="0.2">
      <c r="A164" s="17" t="s">
        <v>118</v>
      </c>
      <c r="B164" s="10">
        <v>0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838.88</v>
      </c>
      <c r="J164" s="10">
        <v>423.23</v>
      </c>
      <c r="K164" s="10">
        <v>0</v>
      </c>
      <c r="L164" s="10">
        <v>423.02</v>
      </c>
      <c r="M164" s="10">
        <v>0</v>
      </c>
      <c r="N164" s="10">
        <f t="shared" si="52"/>
        <v>1685.13</v>
      </c>
    </row>
    <row r="165" spans="1:14" x14ac:dyDescent="0.2">
      <c r="A165" s="17" t="s">
        <v>119</v>
      </c>
      <c r="B165" s="10">
        <v>200</v>
      </c>
      <c r="C165" s="10">
        <v>200</v>
      </c>
      <c r="D165" s="10">
        <v>850</v>
      </c>
      <c r="E165" s="10">
        <v>750</v>
      </c>
      <c r="F165" s="10">
        <v>1361</v>
      </c>
      <c r="G165" s="10">
        <v>-272</v>
      </c>
      <c r="H165" s="10">
        <v>-158.86000000000001</v>
      </c>
      <c r="I165" s="10">
        <v>200</v>
      </c>
      <c r="J165" s="10">
        <v>-54.78</v>
      </c>
      <c r="K165" s="10">
        <v>450</v>
      </c>
      <c r="L165" s="10">
        <v>50</v>
      </c>
      <c r="M165" s="10">
        <v>556</v>
      </c>
      <c r="N165" s="10">
        <f t="shared" si="52"/>
        <v>4131.3599999999997</v>
      </c>
    </row>
    <row r="166" spans="1:14" x14ac:dyDescent="0.2">
      <c r="A166" s="17" t="s">
        <v>120</v>
      </c>
      <c r="B166" s="10">
        <v>0</v>
      </c>
      <c r="C166" s="10">
        <v>295.8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f t="shared" si="52"/>
        <v>295.8</v>
      </c>
    </row>
    <row r="167" spans="1:14" x14ac:dyDescent="0.2">
      <c r="A167" s="17" t="s">
        <v>121</v>
      </c>
      <c r="B167" s="10">
        <v>13261.99</v>
      </c>
      <c r="C167" s="10">
        <v>23911.87</v>
      </c>
      <c r="D167" s="10">
        <v>26450.26</v>
      </c>
      <c r="E167" s="10">
        <v>21961.59</v>
      </c>
      <c r="F167" s="10">
        <v>17368.89</v>
      </c>
      <c r="G167" s="10">
        <v>29446.12</v>
      </c>
      <c r="H167" s="10">
        <v>15691.73</v>
      </c>
      <c r="I167" s="10">
        <v>13826.99</v>
      </c>
      <c r="J167" s="10">
        <v>17761.810000000001</v>
      </c>
      <c r="K167" s="10">
        <v>13351.71</v>
      </c>
      <c r="L167" s="10">
        <v>13264.29</v>
      </c>
      <c r="M167" s="10">
        <v>10141.950000000001</v>
      </c>
      <c r="N167" s="10">
        <f t="shared" si="52"/>
        <v>216439.2</v>
      </c>
    </row>
    <row r="168" spans="1:14" x14ac:dyDescent="0.2">
      <c r="A168" s="17" t="s">
        <v>122</v>
      </c>
      <c r="B168" s="10">
        <v>258.79000000000002</v>
      </c>
      <c r="C168" s="10">
        <v>274.77999999999997</v>
      </c>
      <c r="D168" s="10">
        <v>257.45999999999998</v>
      </c>
      <c r="E168" s="10">
        <v>251.13</v>
      </c>
      <c r="F168" s="10">
        <v>280.81</v>
      </c>
      <c r="G168" s="10">
        <v>288.14</v>
      </c>
      <c r="H168" s="10">
        <v>259.55</v>
      </c>
      <c r="I168" s="10">
        <v>268.64999999999998</v>
      </c>
      <c r="J168" s="10">
        <v>267.43</v>
      </c>
      <c r="K168" s="10">
        <v>273.31</v>
      </c>
      <c r="L168" s="10">
        <v>273.31</v>
      </c>
      <c r="M168" s="10">
        <v>289.13</v>
      </c>
      <c r="N168" s="10">
        <f t="shared" si="52"/>
        <v>3242.4899999999993</v>
      </c>
    </row>
    <row r="169" spans="1:14" x14ac:dyDescent="0.2">
      <c r="A169" s="17" t="s">
        <v>123</v>
      </c>
      <c r="B169" s="10">
        <v>426.4</v>
      </c>
      <c r="C169" s="10">
        <v>426.4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f t="shared" si="52"/>
        <v>852.8</v>
      </c>
    </row>
    <row r="170" spans="1:14" x14ac:dyDescent="0.2">
      <c r="A170" s="17" t="s">
        <v>124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644.74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f t="shared" si="52"/>
        <v>644.74</v>
      </c>
    </row>
    <row r="171" spans="1:14" x14ac:dyDescent="0.2">
      <c r="A171" s="17" t="s">
        <v>125</v>
      </c>
      <c r="B171" s="10">
        <v>3870.62</v>
      </c>
      <c r="C171" s="10">
        <v>4446.53</v>
      </c>
      <c r="D171" s="10">
        <v>8517.08</v>
      </c>
      <c r="E171" s="10">
        <v>2785.88</v>
      </c>
      <c r="F171" s="10">
        <v>3669.37</v>
      </c>
      <c r="G171" s="10">
        <v>3008.4</v>
      </c>
      <c r="H171" s="10">
        <v>4691.71</v>
      </c>
      <c r="I171" s="10">
        <v>130.86000000000001</v>
      </c>
      <c r="J171" s="10">
        <v>3224.82</v>
      </c>
      <c r="K171" s="10">
        <v>5140.57</v>
      </c>
      <c r="L171" s="10">
        <v>4991.57</v>
      </c>
      <c r="M171" s="10">
        <v>4452.58</v>
      </c>
      <c r="N171" s="10">
        <f t="shared" si="52"/>
        <v>48929.990000000005</v>
      </c>
    </row>
    <row r="172" spans="1:14" x14ac:dyDescent="0.2">
      <c r="A172" s="17" t="s">
        <v>126</v>
      </c>
      <c r="B172" s="10">
        <v>730.09</v>
      </c>
      <c r="C172" s="10">
        <v>687.08</v>
      </c>
      <c r="D172" s="10">
        <v>1020.6</v>
      </c>
      <c r="E172" s="10">
        <v>1220.82</v>
      </c>
      <c r="F172" s="10">
        <v>797.79</v>
      </c>
      <c r="G172" s="10">
        <v>1539.42</v>
      </c>
      <c r="H172" s="10">
        <v>6113.72</v>
      </c>
      <c r="I172" s="10">
        <v>908.95</v>
      </c>
      <c r="J172" s="10">
        <v>973.18</v>
      </c>
      <c r="K172" s="10">
        <v>656.36</v>
      </c>
      <c r="L172" s="10">
        <v>601.09</v>
      </c>
      <c r="M172" s="10">
        <v>1794.79</v>
      </c>
      <c r="N172" s="10">
        <f t="shared" si="52"/>
        <v>17043.890000000003</v>
      </c>
    </row>
    <row r="173" spans="1:14" x14ac:dyDescent="0.2">
      <c r="A173" s="17" t="s">
        <v>127</v>
      </c>
      <c r="B173" s="10">
        <v>0</v>
      </c>
      <c r="C173" s="10">
        <v>378.97</v>
      </c>
      <c r="D173" s="10">
        <v>117.11</v>
      </c>
      <c r="E173" s="10">
        <v>969.85</v>
      </c>
      <c r="F173" s="10">
        <v>0</v>
      </c>
      <c r="G173" s="10">
        <v>0</v>
      </c>
      <c r="H173" s="10">
        <v>0</v>
      </c>
      <c r="I173" s="10">
        <v>990.81</v>
      </c>
      <c r="J173" s="10">
        <v>0</v>
      </c>
      <c r="K173" s="10">
        <v>1107.46</v>
      </c>
      <c r="L173" s="10">
        <v>0</v>
      </c>
      <c r="M173" s="10">
        <v>0</v>
      </c>
      <c r="N173" s="10">
        <f t="shared" si="52"/>
        <v>3564.2</v>
      </c>
    </row>
    <row r="174" spans="1:14" x14ac:dyDescent="0.2">
      <c r="A174" s="17" t="s">
        <v>128</v>
      </c>
      <c r="B174" s="10">
        <v>1514.85</v>
      </c>
      <c r="C174" s="10">
        <v>767.26</v>
      </c>
      <c r="D174" s="10">
        <v>2998.22</v>
      </c>
      <c r="E174" s="10">
        <v>1474.48</v>
      </c>
      <c r="F174" s="10">
        <v>882.95</v>
      </c>
      <c r="G174" s="10">
        <v>755.52</v>
      </c>
      <c r="H174" s="10">
        <v>1444.62</v>
      </c>
      <c r="I174" s="10">
        <v>1001.69</v>
      </c>
      <c r="J174" s="10">
        <v>954.54</v>
      </c>
      <c r="K174" s="10">
        <v>1859.52</v>
      </c>
      <c r="L174" s="10">
        <v>750.93</v>
      </c>
      <c r="M174" s="10">
        <v>1449.43</v>
      </c>
      <c r="N174" s="10">
        <f t="shared" si="52"/>
        <v>15854.009999999998</v>
      </c>
    </row>
    <row r="175" spans="1:14" x14ac:dyDescent="0.2">
      <c r="A175" s="17" t="s">
        <v>129</v>
      </c>
      <c r="B175" s="10">
        <v>3336.76</v>
      </c>
      <c r="C175" s="10">
        <v>5141.17</v>
      </c>
      <c r="D175" s="10">
        <v>25449.47</v>
      </c>
      <c r="E175" s="10">
        <v>11833.28</v>
      </c>
      <c r="F175" s="10">
        <v>9725.41</v>
      </c>
      <c r="G175" s="10">
        <v>11425.87</v>
      </c>
      <c r="H175" s="10">
        <v>6541.89</v>
      </c>
      <c r="I175" s="10">
        <v>3523.08</v>
      </c>
      <c r="J175" s="10">
        <v>-443.3</v>
      </c>
      <c r="K175" s="10">
        <v>14786.06</v>
      </c>
      <c r="L175" s="10">
        <v>11923.58</v>
      </c>
      <c r="M175" s="10">
        <v>4804.3500000000004</v>
      </c>
      <c r="N175" s="10">
        <f t="shared" si="52"/>
        <v>108047.62</v>
      </c>
    </row>
    <row r="176" spans="1:14" x14ac:dyDescent="0.2">
      <c r="A176" s="17" t="s">
        <v>130</v>
      </c>
      <c r="B176" s="10">
        <v>1939.23</v>
      </c>
      <c r="C176" s="10">
        <v>1933.7</v>
      </c>
      <c r="D176" s="10">
        <v>4310.21</v>
      </c>
      <c r="E176" s="10">
        <v>2074.81</v>
      </c>
      <c r="F176" s="10">
        <v>1812.76</v>
      </c>
      <c r="G176" s="10">
        <v>642.05999999999995</v>
      </c>
      <c r="H176" s="10">
        <v>-76.180000000000007</v>
      </c>
      <c r="I176" s="10">
        <v>1611.95</v>
      </c>
      <c r="J176" s="10">
        <v>752.42</v>
      </c>
      <c r="K176" s="10">
        <v>1324.4</v>
      </c>
      <c r="L176" s="10">
        <v>675.03</v>
      </c>
      <c r="M176" s="10">
        <v>1655.95</v>
      </c>
      <c r="N176" s="10">
        <f t="shared" si="52"/>
        <v>18656.34</v>
      </c>
    </row>
    <row r="177" spans="1:14" x14ac:dyDescent="0.2">
      <c r="A177" s="17" t="s">
        <v>131</v>
      </c>
      <c r="B177" s="10">
        <v>2040.52</v>
      </c>
      <c r="C177" s="10">
        <v>3561.53</v>
      </c>
      <c r="D177" s="10">
        <v>4248.26</v>
      </c>
      <c r="E177" s="10">
        <v>3259.84</v>
      </c>
      <c r="F177" s="10">
        <v>2103.59</v>
      </c>
      <c r="G177" s="10">
        <v>3181.99</v>
      </c>
      <c r="H177" s="10">
        <v>4232.6400000000003</v>
      </c>
      <c r="I177" s="10">
        <v>2142.83</v>
      </c>
      <c r="J177" s="10">
        <v>1113.93</v>
      </c>
      <c r="K177" s="10">
        <v>1752.25</v>
      </c>
      <c r="L177" s="10">
        <v>3705.33</v>
      </c>
      <c r="M177" s="10">
        <v>2699.07</v>
      </c>
      <c r="N177" s="10">
        <f t="shared" si="52"/>
        <v>34041.780000000006</v>
      </c>
    </row>
    <row r="178" spans="1:14" x14ac:dyDescent="0.2">
      <c r="A178" s="17" t="s">
        <v>132</v>
      </c>
      <c r="B178" s="10">
        <v>180.32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f t="shared" si="52"/>
        <v>180.32</v>
      </c>
    </row>
    <row r="179" spans="1:14" x14ac:dyDescent="0.2">
      <c r="A179" s="17" t="s">
        <v>133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113.66</v>
      </c>
      <c r="N179" s="10">
        <f t="shared" si="52"/>
        <v>113.66</v>
      </c>
    </row>
    <row r="180" spans="1:14" x14ac:dyDescent="0.2">
      <c r="A180" s="17" t="s">
        <v>134</v>
      </c>
      <c r="B180" s="10">
        <v>0</v>
      </c>
      <c r="C180" s="10">
        <v>0</v>
      </c>
      <c r="D180" s="10">
        <v>14.95</v>
      </c>
      <c r="E180" s="10">
        <v>10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f t="shared" si="52"/>
        <v>24.95</v>
      </c>
    </row>
    <row r="181" spans="1:14" x14ac:dyDescent="0.2">
      <c r="A181" s="17" t="s">
        <v>135</v>
      </c>
      <c r="B181" s="10">
        <v>548.49</v>
      </c>
      <c r="C181" s="10">
        <v>76.95</v>
      </c>
      <c r="D181" s="10">
        <v>149</v>
      </c>
      <c r="E181" s="10">
        <v>288.37</v>
      </c>
      <c r="F181" s="10">
        <v>106.87</v>
      </c>
      <c r="G181" s="10">
        <v>1469.12</v>
      </c>
      <c r="H181" s="10">
        <v>488.39</v>
      </c>
      <c r="I181" s="10">
        <v>1367.47</v>
      </c>
      <c r="J181" s="10">
        <v>-54.88</v>
      </c>
      <c r="K181" s="10">
        <v>249.88</v>
      </c>
      <c r="L181" s="10">
        <v>581.64</v>
      </c>
      <c r="M181" s="10">
        <v>1425.54</v>
      </c>
      <c r="N181" s="10">
        <f t="shared" si="52"/>
        <v>6696.84</v>
      </c>
    </row>
    <row r="182" spans="1:14" x14ac:dyDescent="0.2">
      <c r="A182" s="17" t="s">
        <v>136</v>
      </c>
      <c r="B182" s="10">
        <v>4500</v>
      </c>
      <c r="C182" s="10">
        <v>4000</v>
      </c>
      <c r="D182" s="10">
        <v>4878.84</v>
      </c>
      <c r="E182" s="10">
        <v>7050</v>
      </c>
      <c r="F182" s="10">
        <v>6510</v>
      </c>
      <c r="G182" s="10">
        <v>6300</v>
      </c>
      <c r="H182" s="10">
        <v>6838.84</v>
      </c>
      <c r="I182" s="10">
        <v>6510</v>
      </c>
      <c r="J182" s="10">
        <v>5000</v>
      </c>
      <c r="K182" s="10">
        <v>5510</v>
      </c>
      <c r="L182" s="10">
        <v>3500</v>
      </c>
      <c r="M182" s="10">
        <v>4510</v>
      </c>
      <c r="N182" s="10">
        <f t="shared" si="52"/>
        <v>65107.679999999993</v>
      </c>
    </row>
    <row r="183" spans="1:14" ht="4.95" customHeight="1" x14ac:dyDescent="0.2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 ht="4.95" customHeight="1" x14ac:dyDescent="0.2"/>
    <row r="185" spans="1:14" x14ac:dyDescent="0.2">
      <c r="A185" s="16" t="s">
        <v>137</v>
      </c>
      <c r="B185" s="9">
        <f t="shared" ref="B185:N185" si="53">SUM(B161:B182)</f>
        <v>61952.77</v>
      </c>
      <c r="C185" s="9">
        <f t="shared" si="53"/>
        <v>84418.17</v>
      </c>
      <c r="D185" s="9">
        <f t="shared" si="53"/>
        <v>115418.04</v>
      </c>
      <c r="E185" s="9">
        <f t="shared" si="53"/>
        <v>88083.37999999999</v>
      </c>
      <c r="F185" s="9">
        <f t="shared" si="53"/>
        <v>78712.839999999982</v>
      </c>
      <c r="G185" s="9">
        <f t="shared" si="53"/>
        <v>90133.29</v>
      </c>
      <c r="H185" s="9">
        <f t="shared" si="53"/>
        <v>76595.45</v>
      </c>
      <c r="I185" s="9">
        <f t="shared" si="53"/>
        <v>64983.11</v>
      </c>
      <c r="J185" s="9">
        <f t="shared" si="53"/>
        <v>61136.31</v>
      </c>
      <c r="K185" s="9">
        <f t="shared" si="53"/>
        <v>77696.069999999992</v>
      </c>
      <c r="L185" s="9">
        <f t="shared" si="53"/>
        <v>69729.989999999991</v>
      </c>
      <c r="M185" s="9">
        <f t="shared" si="53"/>
        <v>56577.59</v>
      </c>
      <c r="N185" s="9">
        <f t="shared" si="53"/>
        <v>925437.00999999978</v>
      </c>
    </row>
    <row r="186" spans="1:14" ht="4.95" customHeight="1" x14ac:dyDescent="0.2"/>
    <row r="187" spans="1:14" ht="4.95" customHeight="1" x14ac:dyDescent="0.2"/>
    <row r="188" spans="1:14" x14ac:dyDescent="0.2">
      <c r="A188" s="16" t="s">
        <v>138</v>
      </c>
      <c r="B188" s="9">
        <f t="shared" ref="B188:N188" si="54">B158+B185</f>
        <v>212216.42999999996</v>
      </c>
      <c r="C188" s="9">
        <f t="shared" si="54"/>
        <v>231176.65000000002</v>
      </c>
      <c r="D188" s="9">
        <f t="shared" si="54"/>
        <v>293029.34999999998</v>
      </c>
      <c r="E188" s="9">
        <f t="shared" si="54"/>
        <v>259724.94</v>
      </c>
      <c r="F188" s="9">
        <f t="shared" si="54"/>
        <v>224388.31999999995</v>
      </c>
      <c r="G188" s="9">
        <f t="shared" si="54"/>
        <v>242147.27000000002</v>
      </c>
      <c r="H188" s="9">
        <f t="shared" si="54"/>
        <v>225232.5</v>
      </c>
      <c r="I188" s="9">
        <f t="shared" si="54"/>
        <v>197863.36</v>
      </c>
      <c r="J188" s="9">
        <f t="shared" si="54"/>
        <v>213682.03</v>
      </c>
      <c r="K188" s="9">
        <f t="shared" si="54"/>
        <v>227993.34000000003</v>
      </c>
      <c r="L188" s="9">
        <f t="shared" si="54"/>
        <v>215149.12</v>
      </c>
      <c r="M188" s="9">
        <f t="shared" si="54"/>
        <v>199873.94</v>
      </c>
      <c r="N188" s="9">
        <f t="shared" si="54"/>
        <v>2742477.25</v>
      </c>
    </row>
    <row r="189" spans="1:14" ht="4.95" customHeight="1" x14ac:dyDescent="0.2"/>
    <row r="190" spans="1:14" x14ac:dyDescent="0.2">
      <c r="A190" s="7" t="s">
        <v>139</v>
      </c>
      <c r="B190" s="9">
        <f t="shared" ref="B190:N190" si="55">B122-B188</f>
        <v>561609.62</v>
      </c>
      <c r="C190" s="9">
        <f t="shared" si="55"/>
        <v>723686.72000000009</v>
      </c>
      <c r="D190" s="9">
        <f t="shared" si="55"/>
        <v>1081164.3399999999</v>
      </c>
      <c r="E190" s="9">
        <f t="shared" si="55"/>
        <v>1088088.1300000001</v>
      </c>
      <c r="F190" s="9">
        <f t="shared" si="55"/>
        <v>659448.40999999992</v>
      </c>
      <c r="G190" s="9">
        <f t="shared" si="55"/>
        <v>633513.84000000008</v>
      </c>
      <c r="H190" s="9">
        <f t="shared" si="55"/>
        <v>582816.05000000005</v>
      </c>
      <c r="I190" s="9">
        <f t="shared" si="55"/>
        <v>553947.16</v>
      </c>
      <c r="J190" s="9">
        <f t="shared" si="55"/>
        <v>793149.47</v>
      </c>
      <c r="K190" s="9">
        <f t="shared" si="55"/>
        <v>703700.65999999992</v>
      </c>
      <c r="L190" s="9">
        <f t="shared" si="55"/>
        <v>541484.12</v>
      </c>
      <c r="M190" s="9">
        <f t="shared" si="55"/>
        <v>512290.84000000014</v>
      </c>
      <c r="N190" s="9">
        <f t="shared" si="55"/>
        <v>8434899.3599999994</v>
      </c>
    </row>
    <row r="191" spans="1:14" ht="4.95" customHeight="1" x14ac:dyDescent="0.2"/>
    <row r="192" spans="1:14" x14ac:dyDescent="0.2">
      <c r="A192" s="16" t="s">
        <v>140</v>
      </c>
    </row>
    <row r="193" spans="1:14" x14ac:dyDescent="0.2">
      <c r="A193" s="16" t="s">
        <v>20</v>
      </c>
    </row>
    <row r="194" spans="1:14" x14ac:dyDescent="0.2">
      <c r="A194" s="17" t="s">
        <v>141</v>
      </c>
      <c r="B194" s="18">
        <v>1925</v>
      </c>
      <c r="C194" s="18">
        <v>2265</v>
      </c>
      <c r="D194" s="18">
        <v>2789</v>
      </c>
      <c r="E194" s="18">
        <v>2737</v>
      </c>
      <c r="F194" s="18">
        <v>2387</v>
      </c>
      <c r="G194" s="18">
        <v>2435</v>
      </c>
      <c r="H194" s="18">
        <v>2269</v>
      </c>
      <c r="I194" s="18">
        <v>2233</v>
      </c>
      <c r="J194" s="18">
        <v>2480</v>
      </c>
      <c r="K194" s="18">
        <v>1637</v>
      </c>
      <c r="L194" s="18">
        <v>1709</v>
      </c>
      <c r="M194" s="18">
        <v>1296</v>
      </c>
      <c r="N194" s="18">
        <f t="shared" ref="N194:N206" si="56">B194+C194+D194+E194+F194+G194+H194+I194+J194+K194+L194+M194</f>
        <v>26162</v>
      </c>
    </row>
    <row r="195" spans="1:14" x14ac:dyDescent="0.2">
      <c r="A195" s="17" t="s">
        <v>142</v>
      </c>
      <c r="B195" s="18">
        <v>217</v>
      </c>
      <c r="C195" s="18">
        <v>216</v>
      </c>
      <c r="D195" s="18">
        <v>199</v>
      </c>
      <c r="E195" s="18">
        <v>130</v>
      </c>
      <c r="F195" s="18">
        <v>160</v>
      </c>
      <c r="G195" s="18">
        <v>271</v>
      </c>
      <c r="H195" s="18">
        <v>334</v>
      </c>
      <c r="I195" s="18">
        <v>312</v>
      </c>
      <c r="J195" s="18">
        <v>266</v>
      </c>
      <c r="K195" s="18">
        <v>221</v>
      </c>
      <c r="L195" s="18">
        <v>210</v>
      </c>
      <c r="M195" s="18">
        <v>146</v>
      </c>
      <c r="N195" s="18">
        <f t="shared" si="56"/>
        <v>2682</v>
      </c>
    </row>
    <row r="196" spans="1:14" x14ac:dyDescent="0.2">
      <c r="A196" s="17" t="s">
        <v>143</v>
      </c>
      <c r="B196" s="18">
        <v>75</v>
      </c>
      <c r="C196" s="18">
        <v>144</v>
      </c>
      <c r="D196" s="18">
        <v>302</v>
      </c>
      <c r="E196" s="18">
        <v>73</v>
      </c>
      <c r="F196" s="18">
        <v>40</v>
      </c>
      <c r="G196" s="18">
        <v>35</v>
      </c>
      <c r="H196" s="18">
        <v>21</v>
      </c>
      <c r="I196" s="18">
        <v>24</v>
      </c>
      <c r="J196" s="18">
        <v>9</v>
      </c>
      <c r="K196" s="18">
        <v>50</v>
      </c>
      <c r="L196" s="18">
        <v>36</v>
      </c>
      <c r="M196" s="18">
        <v>15</v>
      </c>
      <c r="N196" s="18">
        <f t="shared" si="56"/>
        <v>824</v>
      </c>
    </row>
    <row r="197" spans="1:14" x14ac:dyDescent="0.2">
      <c r="A197" s="17" t="s">
        <v>144</v>
      </c>
      <c r="B197" s="18">
        <v>151</v>
      </c>
      <c r="C197" s="18">
        <v>299</v>
      </c>
      <c r="D197" s="18">
        <v>409</v>
      </c>
      <c r="E197" s="18">
        <v>425</v>
      </c>
      <c r="F197" s="18">
        <v>273</v>
      </c>
      <c r="G197" s="18">
        <v>253</v>
      </c>
      <c r="H197" s="18">
        <v>214</v>
      </c>
      <c r="I197" s="18">
        <v>243</v>
      </c>
      <c r="J197" s="18">
        <v>359</v>
      </c>
      <c r="K197" s="18">
        <v>194</v>
      </c>
      <c r="L197" s="18">
        <v>206</v>
      </c>
      <c r="M197" s="18">
        <v>234</v>
      </c>
      <c r="N197" s="18">
        <f t="shared" si="56"/>
        <v>3260</v>
      </c>
    </row>
    <row r="198" spans="1:14" x14ac:dyDescent="0.2">
      <c r="A198" s="17" t="s">
        <v>145</v>
      </c>
      <c r="B198" s="18">
        <v>1312</v>
      </c>
      <c r="C198" s="18">
        <v>1234</v>
      </c>
      <c r="D198" s="18">
        <v>1773</v>
      </c>
      <c r="E198" s="18">
        <v>1592</v>
      </c>
      <c r="F198" s="18">
        <v>1171</v>
      </c>
      <c r="G198" s="18">
        <v>1743</v>
      </c>
      <c r="H198" s="18">
        <v>1678</v>
      </c>
      <c r="I198" s="18">
        <v>1348</v>
      </c>
      <c r="J198" s="18">
        <v>1545</v>
      </c>
      <c r="K198" s="18">
        <v>832</v>
      </c>
      <c r="L198" s="18">
        <v>884</v>
      </c>
      <c r="M198" s="18">
        <v>933</v>
      </c>
      <c r="N198" s="18">
        <f t="shared" si="56"/>
        <v>16045</v>
      </c>
    </row>
    <row r="199" spans="1:14" x14ac:dyDescent="0.2">
      <c r="A199" s="17" t="s">
        <v>146</v>
      </c>
      <c r="B199" s="18">
        <v>495</v>
      </c>
      <c r="C199" s="18">
        <v>764</v>
      </c>
      <c r="D199" s="18">
        <v>767</v>
      </c>
      <c r="E199" s="18">
        <v>787</v>
      </c>
      <c r="F199" s="18">
        <v>639</v>
      </c>
      <c r="G199" s="18">
        <v>731</v>
      </c>
      <c r="H199" s="18">
        <v>589</v>
      </c>
      <c r="I199" s="18">
        <v>911</v>
      </c>
      <c r="J199" s="18">
        <v>808</v>
      </c>
      <c r="K199" s="18">
        <v>804</v>
      </c>
      <c r="L199" s="18">
        <v>452</v>
      </c>
      <c r="M199" s="18">
        <v>573</v>
      </c>
      <c r="N199" s="18">
        <f t="shared" si="56"/>
        <v>8320</v>
      </c>
    </row>
    <row r="200" spans="1:14" x14ac:dyDescent="0.2">
      <c r="A200" s="17" t="s">
        <v>147</v>
      </c>
      <c r="B200" s="18">
        <v>220</v>
      </c>
      <c r="C200" s="18">
        <v>261</v>
      </c>
      <c r="D200" s="18">
        <v>282</v>
      </c>
      <c r="E200" s="18">
        <v>276</v>
      </c>
      <c r="F200" s="18">
        <v>341</v>
      </c>
      <c r="G200" s="18">
        <v>175</v>
      </c>
      <c r="H200" s="18">
        <v>196</v>
      </c>
      <c r="I200" s="18">
        <v>279</v>
      </c>
      <c r="J200" s="18">
        <v>218</v>
      </c>
      <c r="K200" s="18">
        <v>276</v>
      </c>
      <c r="L200" s="18">
        <v>301</v>
      </c>
      <c r="M200" s="18">
        <v>276</v>
      </c>
      <c r="N200" s="18">
        <f t="shared" si="56"/>
        <v>3101</v>
      </c>
    </row>
    <row r="201" spans="1:14" x14ac:dyDescent="0.2">
      <c r="A201" s="17" t="s">
        <v>148</v>
      </c>
      <c r="B201" s="18">
        <v>0</v>
      </c>
      <c r="C201" s="18">
        <v>14</v>
      </c>
      <c r="D201" s="18">
        <v>534</v>
      </c>
      <c r="E201" s="18">
        <v>237</v>
      </c>
      <c r="F201" s="18">
        <v>0</v>
      </c>
      <c r="G201" s="18">
        <v>0</v>
      </c>
      <c r="H201" s="18">
        <v>0</v>
      </c>
      <c r="I201" s="18">
        <v>0</v>
      </c>
      <c r="J201" s="18">
        <v>7</v>
      </c>
      <c r="K201" s="18">
        <v>47</v>
      </c>
      <c r="L201" s="18">
        <v>0</v>
      </c>
      <c r="M201" s="18">
        <v>2</v>
      </c>
      <c r="N201" s="18">
        <f t="shared" si="56"/>
        <v>841</v>
      </c>
    </row>
    <row r="202" spans="1:14" x14ac:dyDescent="0.2">
      <c r="A202" s="17" t="s">
        <v>149</v>
      </c>
      <c r="B202" s="18">
        <v>859</v>
      </c>
      <c r="C202" s="18">
        <v>337</v>
      </c>
      <c r="D202" s="18">
        <v>172</v>
      </c>
      <c r="E202" s="18">
        <v>521</v>
      </c>
      <c r="F202" s="18">
        <v>285</v>
      </c>
      <c r="G202" s="18">
        <v>423</v>
      </c>
      <c r="H202" s="18">
        <v>253</v>
      </c>
      <c r="I202" s="18">
        <v>322</v>
      </c>
      <c r="J202" s="18">
        <v>614</v>
      </c>
      <c r="K202" s="18">
        <v>1231</v>
      </c>
      <c r="L202" s="18">
        <v>638</v>
      </c>
      <c r="M202" s="18">
        <v>305</v>
      </c>
      <c r="N202" s="18">
        <f t="shared" si="56"/>
        <v>5960</v>
      </c>
    </row>
    <row r="203" spans="1:14" x14ac:dyDescent="0.2">
      <c r="A203" s="17" t="s">
        <v>150</v>
      </c>
      <c r="B203" s="18">
        <v>0</v>
      </c>
      <c r="C203" s="18">
        <v>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368</v>
      </c>
      <c r="K203" s="18">
        <v>0</v>
      </c>
      <c r="L203" s="18">
        <v>0</v>
      </c>
      <c r="M203" s="18">
        <v>0</v>
      </c>
      <c r="N203" s="18">
        <f t="shared" si="56"/>
        <v>368</v>
      </c>
    </row>
    <row r="204" spans="1:14" x14ac:dyDescent="0.2">
      <c r="A204" s="17" t="s">
        <v>151</v>
      </c>
      <c r="B204" s="18">
        <v>84</v>
      </c>
      <c r="C204" s="18">
        <v>66</v>
      </c>
      <c r="D204" s="18">
        <v>57</v>
      </c>
      <c r="E204" s="18">
        <v>79</v>
      </c>
      <c r="F204" s="18">
        <v>102</v>
      </c>
      <c r="G204" s="18">
        <v>39</v>
      </c>
      <c r="H204" s="18">
        <v>47</v>
      </c>
      <c r="I204" s="18">
        <v>79</v>
      </c>
      <c r="J204" s="18">
        <v>154</v>
      </c>
      <c r="K204" s="18">
        <v>238</v>
      </c>
      <c r="L204" s="18">
        <v>334</v>
      </c>
      <c r="M204" s="18">
        <v>367</v>
      </c>
      <c r="N204" s="18">
        <f t="shared" si="56"/>
        <v>1646</v>
      </c>
    </row>
    <row r="205" spans="1:14" x14ac:dyDescent="0.2">
      <c r="A205" s="17" t="s">
        <v>152</v>
      </c>
      <c r="B205" s="18">
        <v>301</v>
      </c>
      <c r="C205" s="18">
        <v>832</v>
      </c>
      <c r="D205" s="18">
        <v>867</v>
      </c>
      <c r="E205" s="18">
        <v>719</v>
      </c>
      <c r="F205" s="18">
        <v>228</v>
      </c>
      <c r="G205" s="18">
        <v>328</v>
      </c>
      <c r="H205" s="18">
        <v>1012</v>
      </c>
      <c r="I205" s="18">
        <v>44</v>
      </c>
      <c r="J205" s="18">
        <v>309</v>
      </c>
      <c r="K205" s="18">
        <v>259</v>
      </c>
      <c r="L205" s="18">
        <v>342</v>
      </c>
      <c r="M205" s="18">
        <v>1493</v>
      </c>
      <c r="N205" s="18">
        <f t="shared" si="56"/>
        <v>6734</v>
      </c>
    </row>
    <row r="206" spans="1:14" x14ac:dyDescent="0.2">
      <c r="A206" s="17" t="s">
        <v>153</v>
      </c>
      <c r="B206" s="18">
        <v>428</v>
      </c>
      <c r="C206" s="18">
        <v>371</v>
      </c>
      <c r="D206" s="18">
        <v>442</v>
      </c>
      <c r="E206" s="18">
        <v>408</v>
      </c>
      <c r="F206" s="18">
        <v>430</v>
      </c>
      <c r="G206" s="18">
        <v>442</v>
      </c>
      <c r="H206" s="18">
        <v>461</v>
      </c>
      <c r="I206" s="18">
        <v>465</v>
      </c>
      <c r="J206" s="18">
        <v>448</v>
      </c>
      <c r="K206" s="18">
        <v>465</v>
      </c>
      <c r="L206" s="18">
        <v>378</v>
      </c>
      <c r="M206" s="18">
        <v>379</v>
      </c>
      <c r="N206" s="18">
        <f t="shared" si="56"/>
        <v>5117</v>
      </c>
    </row>
    <row r="207" spans="1:14" ht="4.95" customHeight="1" x14ac:dyDescent="0.2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1:14" ht="4.95" customHeight="1" x14ac:dyDescent="0.2"/>
    <row r="209" spans="1:14" x14ac:dyDescent="0.2">
      <c r="A209" s="16" t="s">
        <v>154</v>
      </c>
      <c r="B209" s="8">
        <f t="shared" ref="B209:N209" si="57">SUM(B194:B206)</f>
        <v>6067</v>
      </c>
      <c r="C209" s="8">
        <f t="shared" si="57"/>
        <v>6803</v>
      </c>
      <c r="D209" s="8">
        <f t="shared" si="57"/>
        <v>8593</v>
      </c>
      <c r="E209" s="8">
        <f t="shared" si="57"/>
        <v>7984</v>
      </c>
      <c r="F209" s="8">
        <f t="shared" si="57"/>
        <v>6056</v>
      </c>
      <c r="G209" s="8">
        <f t="shared" si="57"/>
        <v>6875</v>
      </c>
      <c r="H209" s="8">
        <f t="shared" si="57"/>
        <v>7074</v>
      </c>
      <c r="I209" s="8">
        <f t="shared" si="57"/>
        <v>6260</v>
      </c>
      <c r="J209" s="8">
        <f t="shared" si="57"/>
        <v>7585</v>
      </c>
      <c r="K209" s="8">
        <f t="shared" si="57"/>
        <v>6254</v>
      </c>
      <c r="L209" s="8">
        <f t="shared" si="57"/>
        <v>5490</v>
      </c>
      <c r="M209" s="8">
        <f t="shared" si="57"/>
        <v>6019</v>
      </c>
      <c r="N209" s="8">
        <f t="shared" si="57"/>
        <v>81060</v>
      </c>
    </row>
    <row r="210" spans="1:14" ht="4.95" customHeight="1" x14ac:dyDescent="0.2"/>
    <row r="211" spans="1:14" ht="4.95" customHeight="1" x14ac:dyDescent="0.2"/>
    <row r="212" spans="1:14" ht="4.95" customHeight="1" x14ac:dyDescent="0.2"/>
    <row r="213" spans="1:14" x14ac:dyDescent="0.2">
      <c r="A213" s="17" t="s">
        <v>155</v>
      </c>
      <c r="B213" s="18">
        <v>7838</v>
      </c>
      <c r="C213" s="18">
        <v>8702</v>
      </c>
      <c r="D213" s="18">
        <v>12145</v>
      </c>
      <c r="E213" s="18">
        <v>11549</v>
      </c>
      <c r="F213" s="18">
        <v>7833</v>
      </c>
      <c r="G213" s="18">
        <v>9239</v>
      </c>
      <c r="H213" s="18">
        <v>10151</v>
      </c>
      <c r="I213" s="18">
        <v>8053</v>
      </c>
      <c r="J213" s="18">
        <v>10038</v>
      </c>
      <c r="K213" s="18">
        <v>7653</v>
      </c>
      <c r="L213" s="18">
        <v>6892</v>
      </c>
      <c r="M213" s="18">
        <v>9611</v>
      </c>
      <c r="N213" s="18">
        <f>B213+C213+D213+E213+F213+G213+H213+I213+J213+K213+L213+M213</f>
        <v>109704</v>
      </c>
    </row>
    <row r="214" spans="1:14" x14ac:dyDescent="0.2">
      <c r="A214" s="17" t="s">
        <v>156</v>
      </c>
      <c r="B214" s="18">
        <v>1235</v>
      </c>
      <c r="C214" s="18">
        <v>49</v>
      </c>
      <c r="D214" s="18">
        <v>62</v>
      </c>
      <c r="E214" s="18">
        <v>61</v>
      </c>
      <c r="F214" s="18">
        <v>671</v>
      </c>
      <c r="G214" s="18">
        <v>664</v>
      </c>
      <c r="H214" s="18">
        <v>256</v>
      </c>
      <c r="I214" s="18">
        <v>100</v>
      </c>
      <c r="J214" s="18">
        <v>146</v>
      </c>
      <c r="K214" s="18">
        <v>85</v>
      </c>
      <c r="L214" s="18">
        <v>146</v>
      </c>
      <c r="M214" s="18">
        <v>102</v>
      </c>
      <c r="N214" s="18">
        <f>B214+C214+D214+E214+F214+G214+H214+I214+J214+K214+L214+M214</f>
        <v>3577</v>
      </c>
    </row>
    <row r="215" spans="1:14" x14ac:dyDescent="0.2">
      <c r="A215" s="17" t="s">
        <v>157</v>
      </c>
      <c r="B215" s="18">
        <v>6</v>
      </c>
      <c r="C215" s="18">
        <v>18</v>
      </c>
      <c r="D215" s="18">
        <v>16</v>
      </c>
      <c r="E215" s="18">
        <v>6</v>
      </c>
      <c r="F215" s="18">
        <v>17</v>
      </c>
      <c r="G215" s="18">
        <v>10</v>
      </c>
      <c r="H215" s="18">
        <v>5</v>
      </c>
      <c r="I215" s="18">
        <v>7</v>
      </c>
      <c r="J215" s="18">
        <v>4</v>
      </c>
      <c r="K215" s="18">
        <v>7</v>
      </c>
      <c r="L215" s="18">
        <v>7</v>
      </c>
      <c r="M215" s="18">
        <v>21</v>
      </c>
      <c r="N215" s="18">
        <f>B215+C215+D215+E215+F215+G215+H215+I215+J215+K215+L215+M215</f>
        <v>124</v>
      </c>
    </row>
    <row r="216" spans="1:14" x14ac:dyDescent="0.2">
      <c r="A216" s="17" t="s">
        <v>158</v>
      </c>
      <c r="B216" s="18">
        <v>18</v>
      </c>
      <c r="C216" s="18">
        <v>21</v>
      </c>
      <c r="D216" s="18">
        <v>19</v>
      </c>
      <c r="E216" s="18">
        <v>18</v>
      </c>
      <c r="F216" s="18">
        <v>24</v>
      </c>
      <c r="G216" s="18">
        <v>30</v>
      </c>
      <c r="H216" s="18">
        <v>36</v>
      </c>
      <c r="I216" s="18">
        <v>26</v>
      </c>
      <c r="J216" s="18">
        <v>20</v>
      </c>
      <c r="K216" s="18">
        <v>21</v>
      </c>
      <c r="L216" s="18">
        <v>19</v>
      </c>
      <c r="M216" s="18">
        <v>10</v>
      </c>
      <c r="N216" s="18">
        <f>B216+C216+D216+E216+F216+G216+H216+I216+J216+K216+L216+M216</f>
        <v>262</v>
      </c>
    </row>
    <row r="217" spans="1:14" x14ac:dyDescent="0.2">
      <c r="A217" s="17" t="s">
        <v>159</v>
      </c>
      <c r="B217" s="18">
        <v>4720</v>
      </c>
      <c r="C217" s="18">
        <v>3994</v>
      </c>
      <c r="D217" s="18">
        <v>3357</v>
      </c>
      <c r="E217" s="18">
        <v>3589</v>
      </c>
      <c r="F217" s="18">
        <v>5284</v>
      </c>
      <c r="G217" s="18">
        <v>4091</v>
      </c>
      <c r="H217" s="18">
        <v>4693</v>
      </c>
      <c r="I217" s="18">
        <v>5661</v>
      </c>
      <c r="J217" s="18">
        <v>3905</v>
      </c>
      <c r="K217" s="18">
        <v>5682</v>
      </c>
      <c r="L217" s="18">
        <v>5997</v>
      </c>
      <c r="M217" s="18">
        <v>5886</v>
      </c>
      <c r="N217" s="18">
        <f>B217+C217+D217+E217+F217+G217+H217+I217+J217+K217+L217+M217</f>
        <v>56859</v>
      </c>
    </row>
    <row r="218" spans="1:14" ht="4.95" customHeight="1" x14ac:dyDescent="0.2"/>
    <row r="219" spans="1:14" ht="4.95" customHeight="1" x14ac:dyDescent="0.2"/>
    <row r="220" spans="1:14" x14ac:dyDescent="0.2">
      <c r="A220" s="16" t="s">
        <v>160</v>
      </c>
    </row>
    <row r="221" spans="1:14" x14ac:dyDescent="0.2">
      <c r="A221" s="17" t="s">
        <v>141</v>
      </c>
      <c r="B221" s="10">
        <v>142.97</v>
      </c>
      <c r="C221" s="10">
        <v>157.07</v>
      </c>
      <c r="D221" s="10">
        <v>185.81</v>
      </c>
      <c r="E221" s="10">
        <v>196.65</v>
      </c>
      <c r="F221" s="10">
        <v>162.1</v>
      </c>
      <c r="G221" s="10">
        <v>140.56</v>
      </c>
      <c r="H221" s="10">
        <v>135.4</v>
      </c>
      <c r="I221" s="10">
        <v>131.19999999999999</v>
      </c>
      <c r="J221" s="10">
        <v>140.85</v>
      </c>
      <c r="K221" s="10">
        <v>173.11</v>
      </c>
      <c r="L221" s="10">
        <v>155.6</v>
      </c>
      <c r="M221" s="10">
        <v>146.07</v>
      </c>
      <c r="N221" s="10">
        <v>156.9</v>
      </c>
    </row>
    <row r="222" spans="1:14" x14ac:dyDescent="0.2">
      <c r="A222" s="17" t="s">
        <v>142</v>
      </c>
      <c r="B222" s="10">
        <v>155.27000000000001</v>
      </c>
      <c r="C222" s="10">
        <v>161.74</v>
      </c>
      <c r="D222" s="10">
        <v>204.08</v>
      </c>
      <c r="E222" s="10">
        <v>214.93</v>
      </c>
      <c r="F222" s="10">
        <v>172.83</v>
      </c>
      <c r="G222" s="10">
        <v>145.63</v>
      </c>
      <c r="H222" s="10">
        <v>140.85</v>
      </c>
      <c r="I222" s="10">
        <v>135.26</v>
      </c>
      <c r="J222" s="10">
        <v>145.31</v>
      </c>
      <c r="K222" s="10">
        <v>183.59</v>
      </c>
      <c r="L222" s="10">
        <v>157.34</v>
      </c>
      <c r="M222" s="10">
        <v>160.69999999999999</v>
      </c>
      <c r="N222" s="10">
        <v>160.06</v>
      </c>
    </row>
    <row r="223" spans="1:14" x14ac:dyDescent="0.2">
      <c r="A223" s="17" t="s">
        <v>143</v>
      </c>
      <c r="B223" s="10">
        <v>106.87</v>
      </c>
      <c r="C223" s="10">
        <v>113.79</v>
      </c>
      <c r="D223" s="10">
        <v>119.93</v>
      </c>
      <c r="E223" s="10">
        <v>166.08</v>
      </c>
      <c r="F223" s="10">
        <v>150.29</v>
      </c>
      <c r="G223" s="10">
        <v>125.43</v>
      </c>
      <c r="H223" s="10">
        <v>121.15</v>
      </c>
      <c r="I223" s="10">
        <v>131.49</v>
      </c>
      <c r="J223" s="10">
        <v>161.51</v>
      </c>
      <c r="K223" s="10">
        <v>136.38999999999999</v>
      </c>
      <c r="L223" s="10">
        <v>125.39</v>
      </c>
      <c r="M223" s="10">
        <v>121.4</v>
      </c>
      <c r="N223" s="10">
        <v>125.55</v>
      </c>
    </row>
    <row r="224" spans="1:14" x14ac:dyDescent="0.2">
      <c r="A224" s="17" t="s">
        <v>144</v>
      </c>
      <c r="B224" s="10">
        <v>153.22999999999999</v>
      </c>
      <c r="C224" s="10">
        <v>152.61000000000001</v>
      </c>
      <c r="D224" s="10">
        <v>188.78</v>
      </c>
      <c r="E224" s="10">
        <v>220.17</v>
      </c>
      <c r="F224" s="10">
        <v>164.77</v>
      </c>
      <c r="G224" s="10">
        <v>137.66999999999999</v>
      </c>
      <c r="H224" s="10">
        <v>138.81</v>
      </c>
      <c r="I224" s="10">
        <v>135.78</v>
      </c>
      <c r="J224" s="10">
        <v>161.18</v>
      </c>
      <c r="K224" s="10">
        <v>173.74</v>
      </c>
      <c r="L224" s="10">
        <v>147.24</v>
      </c>
      <c r="M224" s="10">
        <v>139.6</v>
      </c>
      <c r="N224" s="10">
        <v>164.61</v>
      </c>
    </row>
    <row r="225" spans="1:14" x14ac:dyDescent="0.2">
      <c r="A225" s="17" t="s">
        <v>145</v>
      </c>
      <c r="B225" s="10">
        <v>108.99</v>
      </c>
      <c r="C225" s="10">
        <v>122.58</v>
      </c>
      <c r="D225" s="10">
        <v>139.4</v>
      </c>
      <c r="E225" s="10">
        <v>148.47999999999999</v>
      </c>
      <c r="F225" s="10">
        <v>120.55</v>
      </c>
      <c r="G225" s="10">
        <v>109.4</v>
      </c>
      <c r="H225" s="10">
        <v>97.41</v>
      </c>
      <c r="I225" s="10">
        <v>96.03</v>
      </c>
      <c r="J225" s="10">
        <v>121.98</v>
      </c>
      <c r="K225" s="10">
        <v>137.32</v>
      </c>
      <c r="L225" s="10">
        <v>118.77</v>
      </c>
      <c r="M225" s="10">
        <v>98.81</v>
      </c>
      <c r="N225" s="10">
        <v>118.57</v>
      </c>
    </row>
    <row r="226" spans="1:14" x14ac:dyDescent="0.2">
      <c r="A226" s="17" t="s">
        <v>146</v>
      </c>
      <c r="B226" s="10">
        <v>143.81</v>
      </c>
      <c r="C226" s="10">
        <v>158.91</v>
      </c>
      <c r="D226" s="10">
        <v>169.81</v>
      </c>
      <c r="E226" s="10">
        <v>169.56</v>
      </c>
      <c r="F226" s="10">
        <v>161.53</v>
      </c>
      <c r="G226" s="10">
        <v>137.56</v>
      </c>
      <c r="H226" s="10">
        <v>129.34</v>
      </c>
      <c r="I226" s="10">
        <v>128.04</v>
      </c>
      <c r="J226" s="10">
        <v>147.29</v>
      </c>
      <c r="K226" s="10">
        <v>163.62</v>
      </c>
      <c r="L226" s="10">
        <v>150.96</v>
      </c>
      <c r="M226" s="10">
        <v>156.16</v>
      </c>
      <c r="N226" s="10">
        <v>151.58000000000001</v>
      </c>
    </row>
    <row r="227" spans="1:14" x14ac:dyDescent="0.2">
      <c r="A227" s="17" t="s">
        <v>147</v>
      </c>
      <c r="B227" s="10">
        <v>150.15</v>
      </c>
      <c r="C227" s="10">
        <v>148.65</v>
      </c>
      <c r="D227" s="10">
        <v>153.51</v>
      </c>
      <c r="E227" s="10">
        <v>158.85</v>
      </c>
      <c r="F227" s="10">
        <v>152.25</v>
      </c>
      <c r="G227" s="10">
        <v>136.81</v>
      </c>
      <c r="H227" s="10">
        <v>132.69999999999999</v>
      </c>
      <c r="I227" s="10">
        <v>133.77000000000001</v>
      </c>
      <c r="J227" s="10">
        <v>146.53</v>
      </c>
      <c r="K227" s="10">
        <v>153.24</v>
      </c>
      <c r="L227" s="10">
        <v>143.47</v>
      </c>
      <c r="M227" s="10">
        <v>151.02000000000001</v>
      </c>
      <c r="N227" s="10">
        <v>147.46</v>
      </c>
    </row>
    <row r="228" spans="1:14" x14ac:dyDescent="0.2">
      <c r="A228" s="16" t="s">
        <v>161</v>
      </c>
      <c r="B228" s="9">
        <v>133.63</v>
      </c>
      <c r="C228" s="9">
        <v>147.44</v>
      </c>
      <c r="D228" s="9">
        <v>167.61</v>
      </c>
      <c r="E228" s="9">
        <v>180.32</v>
      </c>
      <c r="F228" s="9">
        <v>152.04</v>
      </c>
      <c r="G228" s="9">
        <v>130.44999999999999</v>
      </c>
      <c r="H228" s="9">
        <v>123.02</v>
      </c>
      <c r="I228" s="9">
        <v>122.38</v>
      </c>
      <c r="J228" s="9">
        <v>138.38</v>
      </c>
      <c r="K228" s="9">
        <v>162.58000000000001</v>
      </c>
      <c r="L228" s="9">
        <v>144.87</v>
      </c>
      <c r="M228" s="9">
        <v>135.51</v>
      </c>
      <c r="N228" s="9">
        <v>145.63</v>
      </c>
    </row>
    <row r="229" spans="1:14" ht="4.95" customHeight="1" x14ac:dyDescent="0.2"/>
    <row r="230" spans="1:14" x14ac:dyDescent="0.2">
      <c r="A230" s="16" t="s">
        <v>162</v>
      </c>
    </row>
    <row r="231" spans="1:14" x14ac:dyDescent="0.2">
      <c r="A231" s="17" t="s">
        <v>148</v>
      </c>
      <c r="B231" s="10">
        <v>0</v>
      </c>
      <c r="C231" s="10">
        <v>119</v>
      </c>
      <c r="D231" s="10">
        <v>129.05000000000001</v>
      </c>
      <c r="E231" s="10">
        <v>186</v>
      </c>
      <c r="F231" s="10">
        <v>0</v>
      </c>
      <c r="G231" s="10">
        <v>0</v>
      </c>
      <c r="H231" s="10">
        <v>0</v>
      </c>
      <c r="I231" s="10">
        <v>0</v>
      </c>
      <c r="J231" s="10">
        <v>149</v>
      </c>
      <c r="K231" s="10">
        <v>119</v>
      </c>
      <c r="L231" s="10">
        <v>0</v>
      </c>
      <c r="M231" s="10">
        <v>159</v>
      </c>
      <c r="N231" s="10">
        <v>144.61000000000001</v>
      </c>
    </row>
    <row r="232" spans="1:14" x14ac:dyDescent="0.2">
      <c r="A232" s="17" t="s">
        <v>149</v>
      </c>
      <c r="B232" s="10">
        <v>121.81</v>
      </c>
      <c r="C232" s="10">
        <v>135.41999999999999</v>
      </c>
      <c r="D232" s="10">
        <v>153.66</v>
      </c>
      <c r="E232" s="10">
        <v>134.13</v>
      </c>
      <c r="F232" s="10">
        <v>136.58000000000001</v>
      </c>
      <c r="G232" s="10">
        <v>144.74</v>
      </c>
      <c r="H232" s="10">
        <v>136.19</v>
      </c>
      <c r="I232" s="10">
        <v>137.44</v>
      </c>
      <c r="J232" s="10">
        <v>134.88</v>
      </c>
      <c r="K232" s="10">
        <v>144.33000000000001</v>
      </c>
      <c r="L232" s="10">
        <v>152.88</v>
      </c>
      <c r="M232" s="10">
        <v>143.77000000000001</v>
      </c>
      <c r="N232" s="10">
        <v>138.81</v>
      </c>
    </row>
    <row r="233" spans="1:14" x14ac:dyDescent="0.2">
      <c r="A233" s="17" t="s">
        <v>150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122</v>
      </c>
      <c r="K233" s="10">
        <v>0</v>
      </c>
      <c r="L233" s="10">
        <v>0</v>
      </c>
      <c r="M233" s="10">
        <v>0</v>
      </c>
      <c r="N233" s="10">
        <v>122</v>
      </c>
    </row>
    <row r="234" spans="1:14" x14ac:dyDescent="0.2">
      <c r="A234" s="17" t="s">
        <v>151</v>
      </c>
      <c r="B234" s="10">
        <v>103.67</v>
      </c>
      <c r="C234" s="10">
        <v>128.1</v>
      </c>
      <c r="D234" s="10">
        <v>157.88999999999999</v>
      </c>
      <c r="E234" s="10">
        <v>170.25</v>
      </c>
      <c r="F234" s="10">
        <v>126.76</v>
      </c>
      <c r="G234" s="10">
        <v>112.15</v>
      </c>
      <c r="H234" s="10">
        <v>98.28</v>
      </c>
      <c r="I234" s="10">
        <v>106.14</v>
      </c>
      <c r="J234" s="10">
        <v>116.94</v>
      </c>
      <c r="K234" s="10">
        <v>105.31</v>
      </c>
      <c r="L234" s="10">
        <v>89.86</v>
      </c>
      <c r="M234" s="10">
        <v>85.02</v>
      </c>
      <c r="N234" s="10">
        <v>105.84</v>
      </c>
    </row>
    <row r="235" spans="1:14" x14ac:dyDescent="0.2">
      <c r="A235" s="17" t="s">
        <v>152</v>
      </c>
      <c r="B235" s="10">
        <v>132.16999999999999</v>
      </c>
      <c r="C235" s="10">
        <v>122.17</v>
      </c>
      <c r="D235" s="10">
        <v>144.84</v>
      </c>
      <c r="E235" s="10">
        <v>151.34</v>
      </c>
      <c r="F235" s="10">
        <v>131.69</v>
      </c>
      <c r="G235" s="10">
        <v>111.59</v>
      </c>
      <c r="H235" s="10">
        <v>79.36</v>
      </c>
      <c r="I235" s="10">
        <v>127.73</v>
      </c>
      <c r="J235" s="10">
        <v>116.44</v>
      </c>
      <c r="K235" s="10">
        <v>114.09</v>
      </c>
      <c r="L235" s="10">
        <v>121.67</v>
      </c>
      <c r="M235" s="10">
        <v>88.09</v>
      </c>
      <c r="N235" s="10">
        <v>113.91</v>
      </c>
    </row>
    <row r="236" spans="1:14" x14ac:dyDescent="0.2">
      <c r="A236" s="16" t="s">
        <v>163</v>
      </c>
      <c r="B236" s="9">
        <v>123.09</v>
      </c>
      <c r="C236" s="9">
        <v>126.02</v>
      </c>
      <c r="D236" s="9">
        <v>141.05000000000001</v>
      </c>
      <c r="E236" s="9">
        <v>151.82</v>
      </c>
      <c r="F236" s="9">
        <v>133.13999999999999</v>
      </c>
      <c r="G236" s="9">
        <v>129.37</v>
      </c>
      <c r="H236" s="9">
        <v>91</v>
      </c>
      <c r="I236" s="9">
        <v>130.91999999999999</v>
      </c>
      <c r="J236" s="9">
        <v>125.86</v>
      </c>
      <c r="K236" s="9">
        <v>134.01</v>
      </c>
      <c r="L236" s="9">
        <v>128.74</v>
      </c>
      <c r="M236" s="9">
        <v>95.47</v>
      </c>
      <c r="N236" s="9">
        <v>124.45</v>
      </c>
    </row>
    <row r="237" spans="1:14" ht="4.95" customHeight="1" x14ac:dyDescent="0.2"/>
    <row r="238" spans="1:14" x14ac:dyDescent="0.2">
      <c r="A238" s="16" t="s">
        <v>164</v>
      </c>
    </row>
    <row r="239" spans="1:14" x14ac:dyDescent="0.2">
      <c r="A239" s="17" t="s">
        <v>153</v>
      </c>
      <c r="B239" s="10">
        <v>77.64</v>
      </c>
      <c r="C239" s="10">
        <v>78.25</v>
      </c>
      <c r="D239" s="10">
        <v>79.180000000000007</v>
      </c>
      <c r="E239" s="10">
        <v>79.19</v>
      </c>
      <c r="F239" s="10">
        <v>79.180000000000007</v>
      </c>
      <c r="G239" s="10">
        <v>79.36</v>
      </c>
      <c r="H239" s="10">
        <v>79.34</v>
      </c>
      <c r="I239" s="10">
        <v>79</v>
      </c>
      <c r="J239" s="10">
        <v>79.709999999999994</v>
      </c>
      <c r="K239" s="10">
        <v>79</v>
      </c>
      <c r="L239" s="10">
        <v>79</v>
      </c>
      <c r="M239" s="10">
        <v>79</v>
      </c>
      <c r="N239" s="10">
        <v>79</v>
      </c>
    </row>
    <row r="240" spans="1:14" x14ac:dyDescent="0.2">
      <c r="A240" s="16" t="s">
        <v>165</v>
      </c>
      <c r="B240" s="9">
        <v>77.64</v>
      </c>
      <c r="C240" s="9">
        <v>78.25</v>
      </c>
      <c r="D240" s="9">
        <v>79.180000000000007</v>
      </c>
      <c r="E240" s="9">
        <v>79.19</v>
      </c>
      <c r="F240" s="9">
        <v>79.180000000000007</v>
      </c>
      <c r="G240" s="9">
        <v>79.36</v>
      </c>
      <c r="H240" s="9">
        <v>79.34</v>
      </c>
      <c r="I240" s="9">
        <v>79</v>
      </c>
      <c r="J240" s="9">
        <v>79.709999999999994</v>
      </c>
      <c r="K240" s="9">
        <v>79</v>
      </c>
      <c r="L240" s="9">
        <v>79</v>
      </c>
      <c r="M240" s="9">
        <v>79</v>
      </c>
      <c r="N240" s="9">
        <v>79</v>
      </c>
    </row>
    <row r="241" spans="1:14" ht="4.95" customHeight="1" x14ac:dyDescent="0.2"/>
    <row r="242" spans="1:14" x14ac:dyDescent="0.2">
      <c r="A242" s="17" t="s">
        <v>158</v>
      </c>
      <c r="B242" s="10">
        <v>472.32</v>
      </c>
      <c r="C242" s="10">
        <v>671.72</v>
      </c>
      <c r="D242" s="10">
        <v>921.72</v>
      </c>
      <c r="E242" s="10">
        <v>613.74</v>
      </c>
      <c r="F242" s="10">
        <v>701.37</v>
      </c>
      <c r="G242" s="10">
        <v>367.66</v>
      </c>
      <c r="H242" s="10">
        <v>163.16999999999999</v>
      </c>
      <c r="I242" s="10">
        <v>399.96</v>
      </c>
      <c r="J242" s="10">
        <v>422.68</v>
      </c>
      <c r="K242" s="10">
        <v>586</v>
      </c>
      <c r="L242" s="10">
        <v>701.75</v>
      </c>
      <c r="M242" s="10">
        <v>935.21</v>
      </c>
      <c r="N242" s="10">
        <v>529.58000000000004</v>
      </c>
    </row>
    <row r="243" spans="1:14" ht="4.95" customHeight="1" x14ac:dyDescent="0.2"/>
    <row r="244" spans="1:14" ht="4.95" customHeight="1" x14ac:dyDescent="0.2"/>
    <row r="245" spans="1:14" ht="4.95" customHeight="1" x14ac:dyDescent="0.2"/>
    <row r="246" spans="1:14" x14ac:dyDescent="0.2">
      <c r="A246" s="16" t="s">
        <v>166</v>
      </c>
    </row>
    <row r="248" spans="1:14" x14ac:dyDescent="0.2">
      <c r="A248" s="16" t="s">
        <v>167</v>
      </c>
    </row>
    <row r="249" spans="1:14" x14ac:dyDescent="0.2">
      <c r="A249" s="16" t="s">
        <v>168</v>
      </c>
    </row>
    <row r="250" spans="1:14" x14ac:dyDescent="0.2">
      <c r="A250" s="17" t="s">
        <v>169</v>
      </c>
      <c r="B250" s="10">
        <v>5150</v>
      </c>
      <c r="C250" s="10">
        <v>9693</v>
      </c>
      <c r="D250" s="10">
        <v>21926</v>
      </c>
      <c r="E250" s="10">
        <v>20839</v>
      </c>
      <c r="F250" s="10">
        <v>5217</v>
      </c>
      <c r="G250" s="10">
        <v>15132</v>
      </c>
      <c r="H250" s="10">
        <v>34762</v>
      </c>
      <c r="I250" s="10">
        <v>3724</v>
      </c>
      <c r="J250" s="10">
        <v>28784</v>
      </c>
      <c r="K250" s="10">
        <v>25845.5</v>
      </c>
      <c r="L250" s="10">
        <v>22925</v>
      </c>
      <c r="M250" s="10">
        <v>50723.9</v>
      </c>
      <c r="N250" s="10">
        <f>B250+C250+D250+E250+F250+G250+H250+I250+J250+K250+L250+M250</f>
        <v>244721.4</v>
      </c>
    </row>
    <row r="251" spans="1:14" x14ac:dyDescent="0.2">
      <c r="A251" s="17" t="s">
        <v>170</v>
      </c>
      <c r="B251" s="10">
        <v>25931</v>
      </c>
      <c r="C251" s="10">
        <v>17725</v>
      </c>
      <c r="D251" s="10">
        <v>37089</v>
      </c>
      <c r="E251" s="10">
        <v>31257</v>
      </c>
      <c r="F251" s="10">
        <v>26041</v>
      </c>
      <c r="G251" s="10">
        <v>6410</v>
      </c>
      <c r="H251" s="10">
        <v>700</v>
      </c>
      <c r="I251" s="10">
        <v>11985</v>
      </c>
      <c r="J251" s="10">
        <v>27917.5</v>
      </c>
      <c r="K251" s="10">
        <v>77962</v>
      </c>
      <c r="L251" s="10">
        <v>24607</v>
      </c>
      <c r="M251" s="10">
        <v>32734.81</v>
      </c>
      <c r="N251" s="10">
        <f>B251+C251+D251+E251+F251+G251+H251+I251+J251+K251+L251+M251</f>
        <v>320359.31</v>
      </c>
    </row>
    <row r="252" spans="1:14" x14ac:dyDescent="0.2">
      <c r="A252" s="17" t="s">
        <v>171</v>
      </c>
      <c r="B252" s="10">
        <v>7422</v>
      </c>
      <c r="C252" s="10">
        <v>9300</v>
      </c>
      <c r="D252" s="10">
        <v>35367</v>
      </c>
      <c r="E252" s="10">
        <v>44583</v>
      </c>
      <c r="F252" s="10">
        <v>22579</v>
      </c>
      <c r="G252" s="10">
        <v>16086</v>
      </c>
      <c r="H252" s="10">
        <v>21588</v>
      </c>
      <c r="I252" s="10">
        <v>3080</v>
      </c>
      <c r="J252" s="10">
        <v>35829</v>
      </c>
      <c r="K252" s="10">
        <v>44429</v>
      </c>
      <c r="L252" s="10">
        <v>61494</v>
      </c>
      <c r="M252" s="10">
        <v>54706.15</v>
      </c>
      <c r="N252" s="10">
        <f>B252+C252+D252+E252+F252+G252+H252+I252+J252+K252+L252+M252</f>
        <v>356463.15</v>
      </c>
    </row>
    <row r="253" spans="1:14" x14ac:dyDescent="0.2">
      <c r="A253" s="17" t="s">
        <v>172</v>
      </c>
      <c r="B253" s="10">
        <v>8258</v>
      </c>
      <c r="C253" s="10">
        <v>30999.14</v>
      </c>
      <c r="D253" s="10">
        <v>37329.629999999997</v>
      </c>
      <c r="E253" s="10">
        <v>44827.94</v>
      </c>
      <c r="F253" s="10">
        <v>23469</v>
      </c>
      <c r="G253" s="10">
        <v>10988</v>
      </c>
      <c r="H253" s="10">
        <v>2583.2600000000002</v>
      </c>
      <c r="I253" s="10">
        <v>5561</v>
      </c>
      <c r="J253" s="10">
        <v>33180</v>
      </c>
      <c r="K253" s="10">
        <v>75801.710000000006</v>
      </c>
      <c r="L253" s="10">
        <v>21001</v>
      </c>
      <c r="M253" s="10">
        <v>5673</v>
      </c>
      <c r="N253" s="10">
        <f>B253+C253+D253+E253+F253+G253+H253+I253+J253+K253+L253+M253</f>
        <v>299671.67999999999</v>
      </c>
    </row>
    <row r="254" spans="1:14" ht="4.95" customHeight="1" x14ac:dyDescent="0.2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spans="1:14" ht="4.95" customHeight="1" x14ac:dyDescent="0.2"/>
    <row r="256" spans="1:14" x14ac:dyDescent="0.2">
      <c r="A256" s="16" t="s">
        <v>173</v>
      </c>
      <c r="B256" s="9">
        <f t="shared" ref="B256:N256" si="58">SUM(B250:B253)</f>
        <v>46761</v>
      </c>
      <c r="C256" s="9">
        <f t="shared" si="58"/>
        <v>67717.14</v>
      </c>
      <c r="D256" s="9">
        <f t="shared" si="58"/>
        <v>131711.63</v>
      </c>
      <c r="E256" s="9">
        <f t="shared" si="58"/>
        <v>141506.94</v>
      </c>
      <c r="F256" s="9">
        <f t="shared" si="58"/>
        <v>77306</v>
      </c>
      <c r="G256" s="9">
        <f t="shared" si="58"/>
        <v>48616</v>
      </c>
      <c r="H256" s="9">
        <f t="shared" si="58"/>
        <v>59633.26</v>
      </c>
      <c r="I256" s="9">
        <f t="shared" si="58"/>
        <v>24350</v>
      </c>
      <c r="J256" s="9">
        <f t="shared" si="58"/>
        <v>125710.5</v>
      </c>
      <c r="K256" s="9">
        <f t="shared" si="58"/>
        <v>224038.21000000002</v>
      </c>
      <c r="L256" s="9">
        <f t="shared" si="58"/>
        <v>130027</v>
      </c>
      <c r="M256" s="9">
        <f t="shared" si="58"/>
        <v>143837.86000000002</v>
      </c>
      <c r="N256" s="9">
        <f t="shared" si="58"/>
        <v>1221215.54</v>
      </c>
    </row>
    <row r="257" spans="1:14" ht="4.95" customHeight="1" x14ac:dyDescent="0.2"/>
    <row r="258" spans="1:14" x14ac:dyDescent="0.2">
      <c r="A258" s="16" t="s">
        <v>174</v>
      </c>
    </row>
    <row r="259" spans="1:14" x14ac:dyDescent="0.2">
      <c r="A259" s="17" t="s">
        <v>175</v>
      </c>
      <c r="B259" s="10">
        <v>152</v>
      </c>
      <c r="C259" s="10">
        <v>3718.14</v>
      </c>
      <c r="D259" s="10">
        <v>512</v>
      </c>
      <c r="E259" s="10">
        <v>2346.88</v>
      </c>
      <c r="F259" s="10">
        <v>2071</v>
      </c>
      <c r="G259" s="10">
        <v>1428</v>
      </c>
      <c r="H259" s="10">
        <v>199.54</v>
      </c>
      <c r="I259" s="10">
        <v>78</v>
      </c>
      <c r="J259" s="10">
        <v>0</v>
      </c>
      <c r="K259" s="10">
        <v>2956.31</v>
      </c>
      <c r="L259" s="10">
        <v>2038</v>
      </c>
      <c r="M259" s="10">
        <v>5580.59</v>
      </c>
      <c r="N259" s="10">
        <f>B259+C259+D259+E259+F259+G259+H259+I259+J259+K259+L259+M259</f>
        <v>21080.46</v>
      </c>
    </row>
    <row r="260" spans="1:14" x14ac:dyDescent="0.2">
      <c r="A260" s="17" t="s">
        <v>176</v>
      </c>
      <c r="B260" s="10">
        <v>1099.48</v>
      </c>
      <c r="C260" s="10">
        <v>5666.05</v>
      </c>
      <c r="D260" s="10">
        <v>840.13</v>
      </c>
      <c r="E260" s="10">
        <v>12928.21</v>
      </c>
      <c r="F260" s="10">
        <v>3282.34</v>
      </c>
      <c r="G260" s="10">
        <v>105</v>
      </c>
      <c r="H260" s="10">
        <v>1576.91</v>
      </c>
      <c r="I260" s="10">
        <v>0</v>
      </c>
      <c r="J260" s="10">
        <v>0</v>
      </c>
      <c r="K260" s="10">
        <v>8331.69</v>
      </c>
      <c r="L260" s="10">
        <v>3175.65</v>
      </c>
      <c r="M260" s="10">
        <v>8040.51</v>
      </c>
      <c r="N260" s="10">
        <f>B260+C260+D260+E260+F260+G260+H260+I260+J260+K260+L260+M260</f>
        <v>45045.97</v>
      </c>
    </row>
    <row r="261" spans="1:14" x14ac:dyDescent="0.2">
      <c r="A261" s="17" t="s">
        <v>177</v>
      </c>
      <c r="B261" s="10">
        <v>646.63</v>
      </c>
      <c r="C261" s="10">
        <v>1910.38</v>
      </c>
      <c r="D261" s="10">
        <v>4776.34</v>
      </c>
      <c r="E261" s="10">
        <v>2322.7199999999998</v>
      </c>
      <c r="F261" s="10">
        <v>2915</v>
      </c>
      <c r="G261" s="10">
        <v>1080</v>
      </c>
      <c r="H261" s="10">
        <v>53.58</v>
      </c>
      <c r="I261" s="10">
        <v>180</v>
      </c>
      <c r="J261" s="10">
        <v>720</v>
      </c>
      <c r="K261" s="10">
        <v>2279.14</v>
      </c>
      <c r="L261" s="10">
        <v>1017</v>
      </c>
      <c r="M261" s="10">
        <v>2717.82</v>
      </c>
      <c r="N261" s="10">
        <f>B261+C261+D261+E261+F261+G261+H261+I261+J261+K261+L261+M261</f>
        <v>20618.61</v>
      </c>
    </row>
    <row r="262" spans="1:14" ht="4.95" customHeight="1" x14ac:dyDescent="0.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1:14" ht="4.95" customHeight="1" x14ac:dyDescent="0.2"/>
    <row r="264" spans="1:14" x14ac:dyDescent="0.2">
      <c r="A264" s="16" t="s">
        <v>178</v>
      </c>
      <c r="B264" s="9">
        <f t="shared" ref="B264:N264" si="59">SUM(B259:B261)</f>
        <v>1898.1100000000001</v>
      </c>
      <c r="C264" s="9">
        <f t="shared" si="59"/>
        <v>11294.57</v>
      </c>
      <c r="D264" s="9">
        <f t="shared" si="59"/>
        <v>6128.47</v>
      </c>
      <c r="E264" s="9">
        <f t="shared" si="59"/>
        <v>17597.810000000001</v>
      </c>
      <c r="F264" s="9">
        <f t="shared" si="59"/>
        <v>8268.34</v>
      </c>
      <c r="G264" s="9">
        <f t="shared" si="59"/>
        <v>2613</v>
      </c>
      <c r="H264" s="9">
        <f t="shared" si="59"/>
        <v>1830.03</v>
      </c>
      <c r="I264" s="9">
        <f t="shared" si="59"/>
        <v>258</v>
      </c>
      <c r="J264" s="9">
        <f t="shared" si="59"/>
        <v>720</v>
      </c>
      <c r="K264" s="9">
        <f t="shared" si="59"/>
        <v>13567.14</v>
      </c>
      <c r="L264" s="9">
        <f t="shared" si="59"/>
        <v>6230.65</v>
      </c>
      <c r="M264" s="9">
        <f t="shared" si="59"/>
        <v>16338.92</v>
      </c>
      <c r="N264" s="9">
        <f t="shared" si="59"/>
        <v>86745.04</v>
      </c>
    </row>
    <row r="265" spans="1:14" ht="4.95" customHeight="1" x14ac:dyDescent="0.2"/>
    <row r="266" spans="1:14" x14ac:dyDescent="0.2">
      <c r="A266" s="16" t="s">
        <v>179</v>
      </c>
    </row>
    <row r="267" spans="1:14" x14ac:dyDescent="0.2">
      <c r="A267" s="17" t="s">
        <v>180</v>
      </c>
      <c r="B267" s="10">
        <v>26700</v>
      </c>
      <c r="C267" s="10">
        <v>7950</v>
      </c>
      <c r="D267" s="10">
        <v>27115.200000000001</v>
      </c>
      <c r="E267" s="10">
        <v>20865</v>
      </c>
      <c r="F267" s="10">
        <v>17038</v>
      </c>
      <c r="G267" s="10">
        <v>34000</v>
      </c>
      <c r="H267" s="10">
        <v>4100</v>
      </c>
      <c r="I267" s="10">
        <v>15900</v>
      </c>
      <c r="J267" s="10">
        <v>17168.259999999998</v>
      </c>
      <c r="K267" s="10">
        <v>6510.58</v>
      </c>
      <c r="L267" s="10">
        <v>27178.84</v>
      </c>
      <c r="M267" s="10">
        <v>12966</v>
      </c>
      <c r="N267" s="10">
        <f>B267+C267+D267+E267+F267+G267+H267+I267+J267+K267+L267+M267</f>
        <v>217491.88</v>
      </c>
    </row>
    <row r="268" spans="1:14" x14ac:dyDescent="0.2">
      <c r="A268" s="17" t="s">
        <v>181</v>
      </c>
      <c r="B268" s="10">
        <v>20557.61</v>
      </c>
      <c r="C268" s="10">
        <v>16420.3</v>
      </c>
      <c r="D268" s="10">
        <v>41706.83</v>
      </c>
      <c r="E268" s="10">
        <v>49929.75</v>
      </c>
      <c r="F268" s="10">
        <v>32081.73</v>
      </c>
      <c r="G268" s="10">
        <v>21674.22</v>
      </c>
      <c r="H268" s="10">
        <v>181.99</v>
      </c>
      <c r="I268" s="10">
        <v>10121.76</v>
      </c>
      <c r="J268" s="10">
        <v>39571.839999999997</v>
      </c>
      <c r="K268" s="10">
        <v>65326.55</v>
      </c>
      <c r="L268" s="10">
        <v>50108.56</v>
      </c>
      <c r="M268" s="10">
        <v>41216.15</v>
      </c>
      <c r="N268" s="10">
        <f>B268+C268+D268+E268+F268+G268+H268+I268+J268+K268+L268+M268</f>
        <v>388897.29000000004</v>
      </c>
    </row>
    <row r="269" spans="1:14" x14ac:dyDescent="0.2">
      <c r="A269" s="17" t="s">
        <v>182</v>
      </c>
      <c r="B269" s="10">
        <v>17189</v>
      </c>
      <c r="C269" s="10">
        <v>3611</v>
      </c>
      <c r="D269" s="10">
        <v>22582.6</v>
      </c>
      <c r="E269" s="10">
        <v>46917.1</v>
      </c>
      <c r="F269" s="10">
        <v>37338</v>
      </c>
      <c r="G269" s="10">
        <v>21533.200000000001</v>
      </c>
      <c r="H269" s="10">
        <v>995</v>
      </c>
      <c r="I269" s="10">
        <v>10635</v>
      </c>
      <c r="J269" s="10">
        <v>29405</v>
      </c>
      <c r="K269" s="10">
        <v>57805</v>
      </c>
      <c r="L269" s="10">
        <v>49797</v>
      </c>
      <c r="M269" s="10">
        <v>5343</v>
      </c>
      <c r="N269" s="10">
        <f>B269+C269+D269+E269+F269+G269+H269+I269+J269+K269+L269+M269</f>
        <v>303150.90000000002</v>
      </c>
    </row>
    <row r="270" spans="1:14" x14ac:dyDescent="0.2">
      <c r="A270" s="17" t="s">
        <v>183</v>
      </c>
      <c r="B270" s="10">
        <v>1387.5</v>
      </c>
      <c r="C270" s="10">
        <v>2537</v>
      </c>
      <c r="D270" s="10">
        <v>9211.7999999999993</v>
      </c>
      <c r="E270" s="10">
        <v>3273.22</v>
      </c>
      <c r="F270" s="10">
        <v>2530</v>
      </c>
      <c r="G270" s="10">
        <v>2100</v>
      </c>
      <c r="H270" s="10">
        <v>1553.81</v>
      </c>
      <c r="I270" s="10">
        <v>650</v>
      </c>
      <c r="J270" s="10">
        <v>1530</v>
      </c>
      <c r="K270" s="10">
        <v>3100</v>
      </c>
      <c r="L270" s="10">
        <v>1838.57</v>
      </c>
      <c r="M270" s="10">
        <v>3245.33</v>
      </c>
      <c r="N270" s="10">
        <f>B270+C270+D270+E270+F270+G270+H270+I270+J270+K270+L270+M270</f>
        <v>32957.230000000003</v>
      </c>
    </row>
    <row r="271" spans="1:14" ht="4.95" customHeight="1" x14ac:dyDescent="0.2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1:14" ht="4.95" customHeight="1" x14ac:dyDescent="0.2"/>
    <row r="273" spans="1:14" x14ac:dyDescent="0.2">
      <c r="A273" s="16" t="s">
        <v>184</v>
      </c>
      <c r="B273" s="9">
        <f t="shared" ref="B273:N273" si="60">SUM(B267:B270)</f>
        <v>65834.11</v>
      </c>
      <c r="C273" s="9">
        <f t="shared" si="60"/>
        <v>30518.3</v>
      </c>
      <c r="D273" s="9">
        <f t="shared" si="60"/>
        <v>100616.43000000001</v>
      </c>
      <c r="E273" s="9">
        <f t="shared" si="60"/>
        <v>120985.07</v>
      </c>
      <c r="F273" s="9">
        <f t="shared" si="60"/>
        <v>88987.73</v>
      </c>
      <c r="G273" s="9">
        <f t="shared" si="60"/>
        <v>79307.42</v>
      </c>
      <c r="H273" s="9">
        <f t="shared" si="60"/>
        <v>6830.7999999999993</v>
      </c>
      <c r="I273" s="9">
        <f t="shared" si="60"/>
        <v>37306.76</v>
      </c>
      <c r="J273" s="9">
        <f t="shared" si="60"/>
        <v>87675.099999999991</v>
      </c>
      <c r="K273" s="9">
        <f t="shared" si="60"/>
        <v>132742.13</v>
      </c>
      <c r="L273" s="9">
        <f t="shared" si="60"/>
        <v>128922.97</v>
      </c>
      <c r="M273" s="9">
        <f t="shared" si="60"/>
        <v>62770.48</v>
      </c>
      <c r="N273" s="9">
        <f t="shared" si="60"/>
        <v>942497.3</v>
      </c>
    </row>
    <row r="274" spans="1:14" ht="4.95" customHeight="1" x14ac:dyDescent="0.2"/>
    <row r="275" spans="1:14" ht="4.95" customHeight="1" x14ac:dyDescent="0.2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1:14" ht="4.95" customHeight="1" x14ac:dyDescent="0.2"/>
    <row r="277" spans="1:14" x14ac:dyDescent="0.2">
      <c r="A277" s="16" t="s">
        <v>185</v>
      </c>
      <c r="B277" s="9">
        <f t="shared" ref="B277:N277" si="61">B256+B264+B273</f>
        <v>114493.22</v>
      </c>
      <c r="C277" s="9">
        <f t="shared" si="61"/>
        <v>109530.01</v>
      </c>
      <c r="D277" s="9">
        <f t="shared" si="61"/>
        <v>238456.53000000003</v>
      </c>
      <c r="E277" s="9">
        <f t="shared" si="61"/>
        <v>280089.82</v>
      </c>
      <c r="F277" s="9">
        <f t="shared" si="61"/>
        <v>174562.07</v>
      </c>
      <c r="G277" s="9">
        <f t="shared" si="61"/>
        <v>130536.42</v>
      </c>
      <c r="H277" s="9">
        <f t="shared" si="61"/>
        <v>68294.09</v>
      </c>
      <c r="I277" s="9">
        <f t="shared" si="61"/>
        <v>61914.76</v>
      </c>
      <c r="J277" s="9">
        <f t="shared" si="61"/>
        <v>214105.59999999998</v>
      </c>
      <c r="K277" s="9">
        <f t="shared" si="61"/>
        <v>370347.48000000004</v>
      </c>
      <c r="L277" s="9">
        <f t="shared" si="61"/>
        <v>265180.62</v>
      </c>
      <c r="M277" s="9">
        <f t="shared" si="61"/>
        <v>222947.26000000004</v>
      </c>
      <c r="N277" s="9">
        <f t="shared" si="61"/>
        <v>2250457.88</v>
      </c>
    </row>
    <row r="279" spans="1:14" x14ac:dyDescent="0.2">
      <c r="A279" s="16" t="s">
        <v>186</v>
      </c>
    </row>
    <row r="280" spans="1:14" x14ac:dyDescent="0.2">
      <c r="A280" s="17" t="s">
        <v>187</v>
      </c>
      <c r="B280" s="10">
        <v>10699.94</v>
      </c>
      <c r="C280" s="10">
        <v>15920.29</v>
      </c>
      <c r="D280" s="10">
        <v>29949.8</v>
      </c>
      <c r="E280" s="10">
        <v>36065.85</v>
      </c>
      <c r="F280" s="10">
        <v>19874.919999999998</v>
      </c>
      <c r="G280" s="10">
        <v>11859.38</v>
      </c>
      <c r="H280" s="10">
        <v>20316.330000000002</v>
      </c>
      <c r="I280" s="10">
        <v>6489.78</v>
      </c>
      <c r="J280" s="10">
        <v>31517.8</v>
      </c>
      <c r="K280" s="10">
        <v>49087.93</v>
      </c>
      <c r="L280" s="10">
        <v>46105.37</v>
      </c>
      <c r="M280" s="10">
        <v>35593.42</v>
      </c>
      <c r="N280" s="10">
        <f>B280+C280+D280+E280+F280+G280+H280+I280+J280+K280+L280+M280</f>
        <v>313480.81</v>
      </c>
    </row>
    <row r="281" spans="1:14" x14ac:dyDescent="0.2">
      <c r="A281" s="17" t="s">
        <v>188</v>
      </c>
      <c r="B281" s="10">
        <v>220.1</v>
      </c>
      <c r="C281" s="10">
        <v>1706.3</v>
      </c>
      <c r="D281" s="10">
        <v>854.3</v>
      </c>
      <c r="E281" s="10">
        <v>2275.3000000000002</v>
      </c>
      <c r="F281" s="10">
        <v>1104.31</v>
      </c>
      <c r="G281" s="10">
        <v>438.14</v>
      </c>
      <c r="H281" s="10">
        <v>275.24</v>
      </c>
      <c r="I281" s="10">
        <v>47.66</v>
      </c>
      <c r="J281" s="10">
        <v>122.12</v>
      </c>
      <c r="K281" s="10">
        <v>1879.77</v>
      </c>
      <c r="L281" s="10">
        <v>947.59</v>
      </c>
      <c r="M281" s="10">
        <v>3763.53</v>
      </c>
      <c r="N281" s="10">
        <f>B281+C281+D281+E281+F281+G281+H281+I281+J281+K281+L281+M281</f>
        <v>13634.36</v>
      </c>
    </row>
    <row r="282" spans="1:14" x14ac:dyDescent="0.2">
      <c r="A282" s="17" t="s">
        <v>189</v>
      </c>
      <c r="B282" s="10">
        <v>8242.0300000000007</v>
      </c>
      <c r="C282" s="10">
        <v>3144.8</v>
      </c>
      <c r="D282" s="10">
        <v>17314.2</v>
      </c>
      <c r="E282" s="10">
        <v>27631.1</v>
      </c>
      <c r="F282" s="10">
        <v>18961.8</v>
      </c>
      <c r="G282" s="10">
        <v>13099.92</v>
      </c>
      <c r="H282" s="10">
        <v>597</v>
      </c>
      <c r="I282" s="10">
        <v>6291</v>
      </c>
      <c r="J282" s="10">
        <v>17643</v>
      </c>
      <c r="K282" s="10">
        <v>21921</v>
      </c>
      <c r="L282" s="10">
        <v>48985.8</v>
      </c>
      <c r="M282" s="10">
        <v>2902.8</v>
      </c>
      <c r="N282" s="10">
        <f>B282+C282+D282+E282+F282+G282+H282+I282+J282+K282+L282+M282</f>
        <v>186734.45</v>
      </c>
    </row>
    <row r="283" spans="1:14" x14ac:dyDescent="0.2">
      <c r="A283" s="17" t="s">
        <v>190</v>
      </c>
      <c r="B283" s="10">
        <v>2107.08</v>
      </c>
      <c r="C283" s="10">
        <v>3181.56</v>
      </c>
      <c r="D283" s="10">
        <v>3599.44</v>
      </c>
      <c r="E283" s="10">
        <v>4059.2</v>
      </c>
      <c r="F283" s="10">
        <v>2700.37</v>
      </c>
      <c r="G283" s="10">
        <v>2634.17</v>
      </c>
      <c r="H283" s="10">
        <v>2187.2800000000002</v>
      </c>
      <c r="I283" s="10">
        <v>2169.46</v>
      </c>
      <c r="J283" s="10">
        <v>2308.9499999999998</v>
      </c>
      <c r="K283" s="10">
        <v>3086.69</v>
      </c>
      <c r="L283" s="10">
        <v>2466.0700000000002</v>
      </c>
      <c r="M283" s="10">
        <v>2800.69</v>
      </c>
      <c r="N283" s="10">
        <f>B283+C283+D283+E283+F283+G283+H283+I283+J283+K283+L283+M283</f>
        <v>33300.959999999999</v>
      </c>
    </row>
    <row r="284" spans="1:14" ht="4.95" customHeight="1" x14ac:dyDescent="0.2"/>
    <row r="285" spans="1:14" ht="4.95" customHeight="1" x14ac:dyDescent="0.2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1:14" ht="4.95" customHeight="1" x14ac:dyDescent="0.2"/>
    <row r="287" spans="1:14" x14ac:dyDescent="0.2">
      <c r="A287" s="16" t="s">
        <v>191</v>
      </c>
      <c r="B287" s="9">
        <f t="shared" ref="B287:N287" si="62">SUM(B280:B283)</f>
        <v>21269.15</v>
      </c>
      <c r="C287" s="9">
        <f t="shared" si="62"/>
        <v>23952.95</v>
      </c>
      <c r="D287" s="9">
        <f t="shared" si="62"/>
        <v>51717.740000000005</v>
      </c>
      <c r="E287" s="9">
        <f t="shared" si="62"/>
        <v>70031.45</v>
      </c>
      <c r="F287" s="9">
        <f t="shared" si="62"/>
        <v>42641.4</v>
      </c>
      <c r="G287" s="9">
        <f t="shared" si="62"/>
        <v>28031.61</v>
      </c>
      <c r="H287" s="9">
        <f t="shared" si="62"/>
        <v>23375.850000000002</v>
      </c>
      <c r="I287" s="9">
        <f t="shared" si="62"/>
        <v>14997.899999999998</v>
      </c>
      <c r="J287" s="9">
        <f t="shared" si="62"/>
        <v>51591.869999999995</v>
      </c>
      <c r="K287" s="9">
        <f t="shared" si="62"/>
        <v>75975.39</v>
      </c>
      <c r="L287" s="9">
        <f t="shared" si="62"/>
        <v>98504.830000000016</v>
      </c>
      <c r="M287" s="9">
        <f t="shared" si="62"/>
        <v>45060.44</v>
      </c>
      <c r="N287" s="9">
        <f t="shared" si="62"/>
        <v>547150.57999999996</v>
      </c>
    </row>
    <row r="288" spans="1:14" ht="4.95" customHeight="1" x14ac:dyDescent="0.2"/>
    <row r="289" spans="1:14" x14ac:dyDescent="0.2">
      <c r="A289" s="16" t="s">
        <v>192</v>
      </c>
      <c r="B289" s="9">
        <f t="shared" ref="B289:N289" si="63">(B277)-(B287)</f>
        <v>93224.07</v>
      </c>
      <c r="C289" s="9">
        <f t="shared" si="63"/>
        <v>85577.06</v>
      </c>
      <c r="D289" s="9">
        <f t="shared" si="63"/>
        <v>186738.79000000004</v>
      </c>
      <c r="E289" s="9">
        <f t="shared" si="63"/>
        <v>210058.37</v>
      </c>
      <c r="F289" s="9">
        <f t="shared" si="63"/>
        <v>131920.67000000001</v>
      </c>
      <c r="G289" s="9">
        <f t="shared" si="63"/>
        <v>102504.81</v>
      </c>
      <c r="H289" s="9">
        <f t="shared" si="63"/>
        <v>44918.239999999991</v>
      </c>
      <c r="I289" s="9">
        <f t="shared" si="63"/>
        <v>46916.86</v>
      </c>
      <c r="J289" s="9">
        <f t="shared" si="63"/>
        <v>162513.72999999998</v>
      </c>
      <c r="K289" s="9">
        <f t="shared" si="63"/>
        <v>294372.09000000003</v>
      </c>
      <c r="L289" s="9">
        <f t="shared" si="63"/>
        <v>166675.78999999998</v>
      </c>
      <c r="M289" s="9">
        <f t="shared" si="63"/>
        <v>177886.82000000004</v>
      </c>
      <c r="N289" s="9">
        <f t="shared" si="63"/>
        <v>1703307.2999999998</v>
      </c>
    </row>
    <row r="291" spans="1:14" x14ac:dyDescent="0.2">
      <c r="A291" s="16" t="s">
        <v>193</v>
      </c>
    </row>
    <row r="293" spans="1:14" x14ac:dyDescent="0.2">
      <c r="A293" s="16" t="s">
        <v>194</v>
      </c>
    </row>
    <row r="294" spans="1:14" x14ac:dyDescent="0.2">
      <c r="A294" s="16" t="s">
        <v>195</v>
      </c>
    </row>
    <row r="295" spans="1:14" x14ac:dyDescent="0.2">
      <c r="A295" s="17" t="s">
        <v>196</v>
      </c>
      <c r="B295" s="10">
        <v>5077.6000000000004</v>
      </c>
      <c r="C295" s="10">
        <v>4616</v>
      </c>
      <c r="D295" s="10">
        <v>5308.4</v>
      </c>
      <c r="E295" s="10">
        <v>4616</v>
      </c>
      <c r="F295" s="10">
        <v>5308.4</v>
      </c>
      <c r="G295" s="10">
        <v>4846.8</v>
      </c>
      <c r="H295" s="10">
        <v>4616</v>
      </c>
      <c r="I295" s="10">
        <v>5308.4</v>
      </c>
      <c r="J295" s="10">
        <v>4746.72</v>
      </c>
      <c r="K295" s="10">
        <v>5228.96</v>
      </c>
      <c r="L295" s="10">
        <v>4753.6000000000004</v>
      </c>
      <c r="M295" s="10">
        <v>4515.92</v>
      </c>
      <c r="N295" s="10">
        <f>B295+C295+D295+E295+F295+G295+H295+I295+J295+K295+L295+M295</f>
        <v>58942.799999999996</v>
      </c>
    </row>
    <row r="296" spans="1:14" x14ac:dyDescent="0.2">
      <c r="A296" s="16" t="s">
        <v>197</v>
      </c>
      <c r="B296" s="9">
        <f t="shared" ref="B296:N296" si="64">B295</f>
        <v>5077.6000000000004</v>
      </c>
      <c r="C296" s="9">
        <f t="shared" si="64"/>
        <v>4616</v>
      </c>
      <c r="D296" s="9">
        <f t="shared" si="64"/>
        <v>5308.4</v>
      </c>
      <c r="E296" s="9">
        <f t="shared" si="64"/>
        <v>4616</v>
      </c>
      <c r="F296" s="9">
        <f t="shared" si="64"/>
        <v>5308.4</v>
      </c>
      <c r="G296" s="9">
        <f t="shared" si="64"/>
        <v>4846.8</v>
      </c>
      <c r="H296" s="9">
        <f t="shared" si="64"/>
        <v>4616</v>
      </c>
      <c r="I296" s="9">
        <f t="shared" si="64"/>
        <v>5308.4</v>
      </c>
      <c r="J296" s="9">
        <f t="shared" si="64"/>
        <v>4746.72</v>
      </c>
      <c r="K296" s="9">
        <f t="shared" si="64"/>
        <v>5228.96</v>
      </c>
      <c r="L296" s="9">
        <f t="shared" si="64"/>
        <v>4753.6000000000004</v>
      </c>
      <c r="M296" s="9">
        <f t="shared" si="64"/>
        <v>4515.92</v>
      </c>
      <c r="N296" s="9">
        <f t="shared" si="64"/>
        <v>58942.799999999996</v>
      </c>
    </row>
    <row r="298" spans="1:14" x14ac:dyDescent="0.2">
      <c r="A298" s="16" t="s">
        <v>198</v>
      </c>
    </row>
    <row r="299" spans="1:14" x14ac:dyDescent="0.2">
      <c r="A299" s="17" t="s">
        <v>199</v>
      </c>
      <c r="B299" s="10">
        <v>1761.88</v>
      </c>
      <c r="C299" s="10">
        <v>2037</v>
      </c>
      <c r="D299" s="10">
        <v>2313.23</v>
      </c>
      <c r="E299" s="10">
        <v>2110.77</v>
      </c>
      <c r="F299" s="10">
        <v>1144.6099999999999</v>
      </c>
      <c r="G299" s="10">
        <v>2680.9</v>
      </c>
      <c r="H299" s="10">
        <v>2376.63</v>
      </c>
      <c r="I299" s="10">
        <v>1420.64</v>
      </c>
      <c r="J299" s="10">
        <v>2936.87</v>
      </c>
      <c r="K299" s="10">
        <v>3207.96</v>
      </c>
      <c r="L299" s="10">
        <v>2623.42</v>
      </c>
      <c r="M299" s="10">
        <v>2670.81</v>
      </c>
      <c r="N299" s="10">
        <f>B299+C299+D299+E299+F299+G299+H299+I299+J299+K299+L299+M299</f>
        <v>27284.719999999998</v>
      </c>
    </row>
    <row r="300" spans="1:14" x14ac:dyDescent="0.2">
      <c r="A300" s="17" t="s">
        <v>200</v>
      </c>
      <c r="B300" s="10">
        <v>2453.9899999999998</v>
      </c>
      <c r="C300" s="10">
        <v>3520.29</v>
      </c>
      <c r="D300" s="10">
        <v>5780.81</v>
      </c>
      <c r="E300" s="10">
        <v>4504.3999999999996</v>
      </c>
      <c r="F300" s="10">
        <v>1849.01</v>
      </c>
      <c r="G300" s="10">
        <v>2669.68</v>
      </c>
      <c r="H300" s="10">
        <v>2871.81</v>
      </c>
      <c r="I300" s="10">
        <v>658.35</v>
      </c>
      <c r="J300" s="10">
        <v>4979.1099999999997</v>
      </c>
      <c r="K300" s="10">
        <v>6140.45</v>
      </c>
      <c r="L300" s="10">
        <v>4045.76</v>
      </c>
      <c r="M300" s="10">
        <v>4239.59</v>
      </c>
      <c r="N300" s="10">
        <f>B300+C300+D300+E300+F300+G300+H300+I300+J300+K300+L300+M300</f>
        <v>43713.25</v>
      </c>
    </row>
    <row r="301" spans="1:14" x14ac:dyDescent="0.2">
      <c r="A301" s="17" t="s">
        <v>201</v>
      </c>
      <c r="B301" s="10">
        <v>4420.79</v>
      </c>
      <c r="C301" s="10">
        <v>4760.1499999999996</v>
      </c>
      <c r="D301" s="10">
        <v>5302.14</v>
      </c>
      <c r="E301" s="10">
        <v>4812.62</v>
      </c>
      <c r="F301" s="10">
        <v>3870.77</v>
      </c>
      <c r="G301" s="10">
        <v>4684.43</v>
      </c>
      <c r="H301" s="10">
        <v>4606.88</v>
      </c>
      <c r="I301" s="10">
        <v>3008.99</v>
      </c>
      <c r="J301" s="10">
        <v>5351.6</v>
      </c>
      <c r="K301" s="10">
        <v>6514.31</v>
      </c>
      <c r="L301" s="10">
        <v>5995.64</v>
      </c>
      <c r="M301" s="10">
        <v>5939.63</v>
      </c>
      <c r="N301" s="10">
        <f>B301+C301+D301+E301+F301+G301+H301+I301+J301+K301+L301+M301</f>
        <v>59267.94999999999</v>
      </c>
    </row>
    <row r="302" spans="1:14" x14ac:dyDescent="0.2">
      <c r="A302" s="17" t="s">
        <v>202</v>
      </c>
      <c r="B302" s="10">
        <v>12328.75</v>
      </c>
      <c r="C302" s="10">
        <v>6607.5</v>
      </c>
      <c r="D302" s="10">
        <v>13939.5</v>
      </c>
      <c r="E302" s="10">
        <v>24764.75</v>
      </c>
      <c r="F302" s="10">
        <v>8773.75</v>
      </c>
      <c r="G302" s="10">
        <v>11072.25</v>
      </c>
      <c r="H302" s="10">
        <v>13781</v>
      </c>
      <c r="I302" s="10">
        <v>2317</v>
      </c>
      <c r="J302" s="10">
        <v>13149.25</v>
      </c>
      <c r="K302" s="10">
        <v>20950</v>
      </c>
      <c r="L302" s="10">
        <v>11071.5</v>
      </c>
      <c r="M302" s="10">
        <v>23759</v>
      </c>
      <c r="N302" s="10">
        <f>B302+C302+D302+E302+F302+G302+H302+I302+J302+K302+L302+M302</f>
        <v>162514.25</v>
      </c>
    </row>
    <row r="303" spans="1:14" x14ac:dyDescent="0.2">
      <c r="A303" s="16" t="s">
        <v>203</v>
      </c>
      <c r="B303" s="9">
        <f t="shared" ref="B303:N303" si="65">SUM(B299:B302)</f>
        <v>20965.41</v>
      </c>
      <c r="C303" s="9">
        <f t="shared" si="65"/>
        <v>16924.939999999999</v>
      </c>
      <c r="D303" s="9">
        <f t="shared" si="65"/>
        <v>27335.68</v>
      </c>
      <c r="E303" s="9">
        <f t="shared" si="65"/>
        <v>36192.54</v>
      </c>
      <c r="F303" s="9">
        <f t="shared" si="65"/>
        <v>15638.14</v>
      </c>
      <c r="G303" s="9">
        <f t="shared" si="65"/>
        <v>21107.260000000002</v>
      </c>
      <c r="H303" s="9">
        <f t="shared" si="65"/>
        <v>23636.32</v>
      </c>
      <c r="I303" s="9">
        <f t="shared" si="65"/>
        <v>7404.98</v>
      </c>
      <c r="J303" s="9">
        <f t="shared" si="65"/>
        <v>26416.83</v>
      </c>
      <c r="K303" s="9">
        <f t="shared" si="65"/>
        <v>36812.720000000001</v>
      </c>
      <c r="L303" s="9">
        <f t="shared" si="65"/>
        <v>23736.32</v>
      </c>
      <c r="M303" s="9">
        <f t="shared" si="65"/>
        <v>36609.03</v>
      </c>
      <c r="N303" s="9">
        <f t="shared" si="65"/>
        <v>292780.17</v>
      </c>
    </row>
    <row r="304" spans="1:14" x14ac:dyDescent="0.2">
      <c r="A304" s="16" t="s">
        <v>204</v>
      </c>
      <c r="B304" s="9">
        <f t="shared" ref="B304:N304" si="66">B296+B303</f>
        <v>26043.010000000002</v>
      </c>
      <c r="C304" s="9">
        <f t="shared" si="66"/>
        <v>21540.94</v>
      </c>
      <c r="D304" s="9">
        <f t="shared" si="66"/>
        <v>32644.080000000002</v>
      </c>
      <c r="E304" s="9">
        <f t="shared" si="66"/>
        <v>40808.54</v>
      </c>
      <c r="F304" s="9">
        <f t="shared" si="66"/>
        <v>20946.54</v>
      </c>
      <c r="G304" s="9">
        <f t="shared" si="66"/>
        <v>25954.06</v>
      </c>
      <c r="H304" s="9">
        <f t="shared" si="66"/>
        <v>28252.32</v>
      </c>
      <c r="I304" s="9">
        <f t="shared" si="66"/>
        <v>12713.38</v>
      </c>
      <c r="J304" s="9">
        <f t="shared" si="66"/>
        <v>31163.550000000003</v>
      </c>
      <c r="K304" s="9">
        <f t="shared" si="66"/>
        <v>42041.68</v>
      </c>
      <c r="L304" s="9">
        <f t="shared" si="66"/>
        <v>28489.919999999998</v>
      </c>
      <c r="M304" s="9">
        <f t="shared" si="66"/>
        <v>41124.949999999997</v>
      </c>
      <c r="N304" s="9">
        <f t="shared" si="66"/>
        <v>351722.97</v>
      </c>
    </row>
    <row r="306" spans="1:14" x14ac:dyDescent="0.2">
      <c r="A306" s="16" t="s">
        <v>205</v>
      </c>
    </row>
    <row r="307" spans="1:14" x14ac:dyDescent="0.2">
      <c r="A307" s="17" t="s">
        <v>206</v>
      </c>
      <c r="B307" s="10">
        <v>0</v>
      </c>
      <c r="C307" s="10">
        <v>0</v>
      </c>
      <c r="D307" s="10">
        <v>0</v>
      </c>
      <c r="E307" s="10">
        <v>100</v>
      </c>
      <c r="F307" s="10">
        <v>0</v>
      </c>
      <c r="G307" s="10">
        <v>0</v>
      </c>
      <c r="H307" s="10">
        <v>0</v>
      </c>
      <c r="I307" s="10">
        <v>0</v>
      </c>
      <c r="J307" s="10">
        <v>250</v>
      </c>
      <c r="K307" s="10">
        <v>0</v>
      </c>
      <c r="L307" s="10">
        <v>0</v>
      </c>
      <c r="M307" s="10">
        <v>0</v>
      </c>
      <c r="N307" s="10">
        <f t="shared" ref="N307:N313" si="67">B307+C307+D307+E307+F307+G307+H307+I307+J307+K307+L307+M307</f>
        <v>350</v>
      </c>
    </row>
    <row r="308" spans="1:14" x14ac:dyDescent="0.2">
      <c r="A308" s="17" t="s">
        <v>207</v>
      </c>
      <c r="B308" s="10">
        <v>3038.53</v>
      </c>
      <c r="C308" s="10">
        <v>2727.28</v>
      </c>
      <c r="D308" s="10">
        <v>2571.5</v>
      </c>
      <c r="E308" s="10">
        <v>4922.0200000000004</v>
      </c>
      <c r="F308" s="10">
        <v>1511.02</v>
      </c>
      <c r="G308" s="10">
        <v>2101.0300000000002</v>
      </c>
      <c r="H308" s="10">
        <v>2019.31</v>
      </c>
      <c r="I308" s="10">
        <v>975.61</v>
      </c>
      <c r="J308" s="10">
        <v>2074.4899999999998</v>
      </c>
      <c r="K308" s="10">
        <v>2963.29</v>
      </c>
      <c r="L308" s="10">
        <v>2295.0500000000002</v>
      </c>
      <c r="M308" s="10">
        <v>2962.82</v>
      </c>
      <c r="N308" s="10">
        <f t="shared" si="67"/>
        <v>30161.95</v>
      </c>
    </row>
    <row r="309" spans="1:14" x14ac:dyDescent="0.2">
      <c r="A309" s="17" t="s">
        <v>208</v>
      </c>
      <c r="B309" s="10">
        <v>198.46</v>
      </c>
      <c r="C309" s="10">
        <v>170.84</v>
      </c>
      <c r="D309" s="10">
        <v>214.04</v>
      </c>
      <c r="E309" s="10">
        <v>263.77999999999997</v>
      </c>
      <c r="F309" s="10">
        <v>148.74</v>
      </c>
      <c r="G309" s="10">
        <v>189.17</v>
      </c>
      <c r="H309" s="10">
        <v>198.9</v>
      </c>
      <c r="I309" s="10">
        <v>74.17</v>
      </c>
      <c r="J309" s="10">
        <v>98.91</v>
      </c>
      <c r="K309" s="10">
        <v>206.5</v>
      </c>
      <c r="L309" s="10">
        <v>157</v>
      </c>
      <c r="M309" s="10">
        <v>222.55</v>
      </c>
      <c r="N309" s="10">
        <f t="shared" si="67"/>
        <v>2143.0600000000004</v>
      </c>
    </row>
    <row r="310" spans="1:14" x14ac:dyDescent="0.2">
      <c r="A310" s="17" t="s">
        <v>209</v>
      </c>
      <c r="B310" s="10">
        <v>390</v>
      </c>
      <c r="C310" s="10">
        <v>581.05999999999995</v>
      </c>
      <c r="D310" s="10">
        <v>607.77</v>
      </c>
      <c r="E310" s="10">
        <v>484.77</v>
      </c>
      <c r="F310" s="10">
        <v>449.71</v>
      </c>
      <c r="G310" s="10">
        <v>523.70000000000005</v>
      </c>
      <c r="H310" s="10">
        <v>735.57</v>
      </c>
      <c r="I310" s="10">
        <v>300.52</v>
      </c>
      <c r="J310" s="10">
        <v>248.31</v>
      </c>
      <c r="K310" s="10">
        <v>1092.3800000000001</v>
      </c>
      <c r="L310" s="10">
        <v>709.37</v>
      </c>
      <c r="M310" s="10">
        <v>1045.9100000000001</v>
      </c>
      <c r="N310" s="10">
        <f t="shared" si="67"/>
        <v>7169.0700000000006</v>
      </c>
    </row>
    <row r="311" spans="1:14" x14ac:dyDescent="0.2">
      <c r="A311" s="17" t="s">
        <v>210</v>
      </c>
      <c r="B311" s="10">
        <v>92.48</v>
      </c>
      <c r="C311" s="10">
        <v>0</v>
      </c>
      <c r="D311" s="10">
        <v>354.48</v>
      </c>
      <c r="E311" s="10">
        <v>510</v>
      </c>
      <c r="F311" s="10">
        <v>0</v>
      </c>
      <c r="G311" s="10">
        <v>0</v>
      </c>
      <c r="H311" s="10">
        <v>0</v>
      </c>
      <c r="I311" s="10">
        <v>472.64</v>
      </c>
      <c r="J311" s="10">
        <v>0</v>
      </c>
      <c r="K311" s="10">
        <v>0</v>
      </c>
      <c r="L311" s="10">
        <v>0</v>
      </c>
      <c r="M311" s="10">
        <v>0</v>
      </c>
      <c r="N311" s="10">
        <f t="shared" si="67"/>
        <v>1429.6</v>
      </c>
    </row>
    <row r="312" spans="1:14" x14ac:dyDescent="0.2">
      <c r="A312" s="17" t="s">
        <v>211</v>
      </c>
      <c r="B312" s="10">
        <v>-104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237.68</v>
      </c>
      <c r="M312" s="10">
        <v>0</v>
      </c>
      <c r="N312" s="10">
        <f t="shared" si="67"/>
        <v>133.68</v>
      </c>
    </row>
    <row r="313" spans="1:14" x14ac:dyDescent="0.2">
      <c r="A313" s="17" t="s">
        <v>212</v>
      </c>
      <c r="B313" s="10">
        <v>529.54</v>
      </c>
      <c r="C313" s="10">
        <v>0</v>
      </c>
      <c r="D313" s="10">
        <v>0</v>
      </c>
      <c r="E313" s="10">
        <v>0</v>
      </c>
      <c r="F313" s="10">
        <v>136</v>
      </c>
      <c r="G313" s="10">
        <v>524.51</v>
      </c>
      <c r="H313" s="10">
        <v>415.02</v>
      </c>
      <c r="I313" s="10">
        <v>118.16</v>
      </c>
      <c r="J313" s="10">
        <v>546.54</v>
      </c>
      <c r="K313" s="10">
        <v>0</v>
      </c>
      <c r="L313" s="10">
        <v>635.13</v>
      </c>
      <c r="M313" s="10">
        <v>109.12</v>
      </c>
      <c r="N313" s="10">
        <f t="shared" si="67"/>
        <v>3014.02</v>
      </c>
    </row>
    <row r="314" spans="1:14" x14ac:dyDescent="0.2">
      <c r="A314" s="16" t="s">
        <v>213</v>
      </c>
      <c r="B314" s="9">
        <f t="shared" ref="B314:N314" si="68">SUM(B307:B313)</f>
        <v>4145.01</v>
      </c>
      <c r="C314" s="9">
        <f t="shared" si="68"/>
        <v>3479.1800000000003</v>
      </c>
      <c r="D314" s="9">
        <f t="shared" si="68"/>
        <v>3747.79</v>
      </c>
      <c r="E314" s="9">
        <f t="shared" si="68"/>
        <v>6280.57</v>
      </c>
      <c r="F314" s="9">
        <f t="shared" si="68"/>
        <v>2245.4699999999998</v>
      </c>
      <c r="G314" s="9">
        <f t="shared" si="68"/>
        <v>3338.4100000000008</v>
      </c>
      <c r="H314" s="9">
        <f t="shared" si="68"/>
        <v>3368.8</v>
      </c>
      <c r="I314" s="9">
        <f t="shared" si="68"/>
        <v>1941.1000000000001</v>
      </c>
      <c r="J314" s="9">
        <f t="shared" si="68"/>
        <v>3218.2499999999995</v>
      </c>
      <c r="K314" s="9">
        <f t="shared" si="68"/>
        <v>4262.17</v>
      </c>
      <c r="L314" s="9">
        <f t="shared" si="68"/>
        <v>4034.23</v>
      </c>
      <c r="M314" s="9">
        <f t="shared" si="68"/>
        <v>4340.4000000000005</v>
      </c>
      <c r="N314" s="9">
        <f t="shared" si="68"/>
        <v>44401.38</v>
      </c>
    </row>
    <row r="315" spans="1:14" ht="4.95" customHeight="1" x14ac:dyDescent="0.2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1:14" ht="4.95" customHeight="1" x14ac:dyDescent="0.2"/>
    <row r="317" spans="1:14" x14ac:dyDescent="0.2">
      <c r="A317" s="16" t="s">
        <v>214</v>
      </c>
      <c r="B317" s="9">
        <f t="shared" ref="B317:N317" si="69">B304+B314</f>
        <v>30188.020000000004</v>
      </c>
      <c r="C317" s="9">
        <f t="shared" si="69"/>
        <v>25020.12</v>
      </c>
      <c r="D317" s="9">
        <f t="shared" si="69"/>
        <v>36391.870000000003</v>
      </c>
      <c r="E317" s="9">
        <f t="shared" si="69"/>
        <v>47089.11</v>
      </c>
      <c r="F317" s="9">
        <f t="shared" si="69"/>
        <v>23192.010000000002</v>
      </c>
      <c r="G317" s="9">
        <f t="shared" si="69"/>
        <v>29292.47</v>
      </c>
      <c r="H317" s="9">
        <f t="shared" si="69"/>
        <v>31621.119999999999</v>
      </c>
      <c r="I317" s="9">
        <f t="shared" si="69"/>
        <v>14654.48</v>
      </c>
      <c r="J317" s="9">
        <f t="shared" si="69"/>
        <v>34381.800000000003</v>
      </c>
      <c r="K317" s="9">
        <f t="shared" si="69"/>
        <v>46303.85</v>
      </c>
      <c r="L317" s="9">
        <f t="shared" si="69"/>
        <v>32524.149999999998</v>
      </c>
      <c r="M317" s="9">
        <f t="shared" si="69"/>
        <v>45465.35</v>
      </c>
      <c r="N317" s="9">
        <f t="shared" si="69"/>
        <v>396124.35</v>
      </c>
    </row>
    <row r="318" spans="1:14" ht="4.95" customHeight="1" x14ac:dyDescent="0.2"/>
    <row r="319" spans="1:14" x14ac:dyDescent="0.2">
      <c r="A319" s="16" t="s">
        <v>114</v>
      </c>
    </row>
    <row r="320" spans="1:14" x14ac:dyDescent="0.2">
      <c r="A320" s="17" t="s">
        <v>215</v>
      </c>
      <c r="B320" s="10">
        <v>4092.12</v>
      </c>
      <c r="C320" s="10">
        <v>649.74</v>
      </c>
      <c r="D320" s="10">
        <v>865.52</v>
      </c>
      <c r="E320" s="10">
        <v>0</v>
      </c>
      <c r="F320" s="10">
        <v>1308.5999999999999</v>
      </c>
      <c r="G320" s="10">
        <v>1893.96</v>
      </c>
      <c r="H320" s="10">
        <v>-160.63</v>
      </c>
      <c r="I320" s="10">
        <v>1146.77</v>
      </c>
      <c r="J320" s="10">
        <v>4151.46</v>
      </c>
      <c r="K320" s="10">
        <v>2436.8000000000002</v>
      </c>
      <c r="L320" s="10">
        <v>1661.04</v>
      </c>
      <c r="M320" s="10">
        <v>636.63</v>
      </c>
      <c r="N320" s="10">
        <f t="shared" ref="N320:N335" si="70">B320+C320+D320+E320+F320+G320+H320+I320+J320+K320+L320+M320</f>
        <v>18682.010000000002</v>
      </c>
    </row>
    <row r="321" spans="1:14" x14ac:dyDescent="0.2">
      <c r="A321" s="17" t="s">
        <v>216</v>
      </c>
      <c r="B321" s="10">
        <v>0</v>
      </c>
      <c r="C321" s="10">
        <v>0</v>
      </c>
      <c r="D321" s="10">
        <v>998.8</v>
      </c>
      <c r="E321" s="10">
        <v>950.31</v>
      </c>
      <c r="F321" s="10">
        <v>122.94</v>
      </c>
      <c r="G321" s="10">
        <v>666.64</v>
      </c>
      <c r="H321" s="10">
        <v>148.43</v>
      </c>
      <c r="I321" s="10">
        <v>1417.45</v>
      </c>
      <c r="J321" s="10">
        <v>32.51</v>
      </c>
      <c r="K321" s="10">
        <v>308.83999999999997</v>
      </c>
      <c r="L321" s="10">
        <v>79.12</v>
      </c>
      <c r="M321" s="10">
        <v>261.95999999999998</v>
      </c>
      <c r="N321" s="10">
        <f t="shared" si="70"/>
        <v>4987</v>
      </c>
    </row>
    <row r="322" spans="1:14" x14ac:dyDescent="0.2">
      <c r="A322" s="17" t="s">
        <v>217</v>
      </c>
      <c r="B322" s="10">
        <v>1089.22</v>
      </c>
      <c r="C322" s="10">
        <v>190.7</v>
      </c>
      <c r="D322" s="10">
        <v>185.21</v>
      </c>
      <c r="E322" s="10">
        <v>0</v>
      </c>
      <c r="F322" s="10">
        <v>805.56</v>
      </c>
      <c r="G322" s="10">
        <v>823.18</v>
      </c>
      <c r="H322" s="10">
        <v>123.67</v>
      </c>
      <c r="I322" s="10">
        <v>0</v>
      </c>
      <c r="J322" s="10">
        <v>881.12</v>
      </c>
      <c r="K322" s="10">
        <v>1139.8399999999999</v>
      </c>
      <c r="L322" s="10">
        <v>0</v>
      </c>
      <c r="M322" s="10">
        <v>286.82</v>
      </c>
      <c r="N322" s="10">
        <f t="shared" si="70"/>
        <v>5525.32</v>
      </c>
    </row>
    <row r="323" spans="1:14" x14ac:dyDescent="0.2">
      <c r="A323" s="17" t="s">
        <v>218</v>
      </c>
      <c r="B323" s="10">
        <v>0</v>
      </c>
      <c r="C323" s="10">
        <v>178.29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162.05000000000001</v>
      </c>
      <c r="M323" s="10">
        <v>351.22</v>
      </c>
      <c r="N323" s="10">
        <f t="shared" si="70"/>
        <v>691.56000000000006</v>
      </c>
    </row>
    <row r="324" spans="1:14" x14ac:dyDescent="0.2">
      <c r="A324" s="17" t="s">
        <v>219</v>
      </c>
      <c r="B324" s="10">
        <v>802.74</v>
      </c>
      <c r="C324" s="10">
        <v>733.78</v>
      </c>
      <c r="D324" s="10">
        <v>752.1</v>
      </c>
      <c r="E324" s="10">
        <v>660.51</v>
      </c>
      <c r="F324" s="10">
        <v>1609.79</v>
      </c>
      <c r="G324" s="10">
        <v>1075.3499999999999</v>
      </c>
      <c r="H324" s="10">
        <v>1117.3699999999999</v>
      </c>
      <c r="I324" s="10">
        <v>780.11</v>
      </c>
      <c r="J324" s="10">
        <v>393.29</v>
      </c>
      <c r="K324" s="10">
        <v>2248.75</v>
      </c>
      <c r="L324" s="10">
        <v>943.89</v>
      </c>
      <c r="M324" s="10">
        <v>380.36</v>
      </c>
      <c r="N324" s="10">
        <f t="shared" si="70"/>
        <v>11498.04</v>
      </c>
    </row>
    <row r="325" spans="1:14" x14ac:dyDescent="0.2">
      <c r="A325" s="17" t="s">
        <v>220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772.04</v>
      </c>
      <c r="L325" s="10">
        <v>324.75</v>
      </c>
      <c r="M325" s="10">
        <v>783.39</v>
      </c>
      <c r="N325" s="10">
        <f t="shared" si="70"/>
        <v>1880.1799999999998</v>
      </c>
    </row>
    <row r="326" spans="1:14" x14ac:dyDescent="0.2">
      <c r="A326" s="17" t="s">
        <v>221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18.21</v>
      </c>
      <c r="N326" s="10">
        <f t="shared" si="70"/>
        <v>18.21</v>
      </c>
    </row>
    <row r="327" spans="1:14" x14ac:dyDescent="0.2">
      <c r="A327" s="17" t="s">
        <v>222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234.5</v>
      </c>
      <c r="K327" s="10">
        <v>928.31</v>
      </c>
      <c r="L327" s="10">
        <v>252.09</v>
      </c>
      <c r="M327" s="10">
        <v>221.45</v>
      </c>
      <c r="N327" s="10">
        <f t="shared" si="70"/>
        <v>1636.35</v>
      </c>
    </row>
    <row r="328" spans="1:14" x14ac:dyDescent="0.2">
      <c r="A328" s="17" t="s">
        <v>223</v>
      </c>
      <c r="B328" s="10">
        <v>0</v>
      </c>
      <c r="C328" s="10">
        <v>0</v>
      </c>
      <c r="D328" s="10">
        <v>1624.78</v>
      </c>
      <c r="E328" s="10">
        <v>1214.8699999999999</v>
      </c>
      <c r="F328" s="10">
        <v>-162.38999999999999</v>
      </c>
      <c r="G328" s="10">
        <v>489.32</v>
      </c>
      <c r="H328" s="10">
        <v>0</v>
      </c>
      <c r="I328" s="10">
        <v>207.71</v>
      </c>
      <c r="J328" s="10">
        <v>0</v>
      </c>
      <c r="K328" s="10">
        <v>188.96</v>
      </c>
      <c r="L328" s="10">
        <v>0</v>
      </c>
      <c r="M328" s="10">
        <v>0</v>
      </c>
      <c r="N328" s="10">
        <f t="shared" si="70"/>
        <v>3563.25</v>
      </c>
    </row>
    <row r="329" spans="1:14" x14ac:dyDescent="0.2">
      <c r="A329" s="17" t="s">
        <v>224</v>
      </c>
      <c r="B329" s="10">
        <v>68.75</v>
      </c>
      <c r="C329" s="10">
        <v>68.75</v>
      </c>
      <c r="D329" s="10">
        <v>218.75</v>
      </c>
      <c r="E329" s="10">
        <v>218.75</v>
      </c>
      <c r="F329" s="10">
        <v>218.75</v>
      </c>
      <c r="G329" s="10">
        <v>218.75</v>
      </c>
      <c r="H329" s="10">
        <v>218.75</v>
      </c>
      <c r="I329" s="10">
        <v>218.75</v>
      </c>
      <c r="J329" s="10">
        <v>218.75</v>
      </c>
      <c r="K329" s="10">
        <v>218.75</v>
      </c>
      <c r="L329" s="10">
        <v>218.75</v>
      </c>
      <c r="M329" s="10">
        <v>218.75</v>
      </c>
      <c r="N329" s="10">
        <f t="shared" si="70"/>
        <v>2325</v>
      </c>
    </row>
    <row r="330" spans="1:14" x14ac:dyDescent="0.2">
      <c r="A330" s="17" t="s">
        <v>225</v>
      </c>
      <c r="B330" s="10">
        <v>0</v>
      </c>
      <c r="C330" s="10">
        <v>0</v>
      </c>
      <c r="D330" s="10">
        <v>174.28</v>
      </c>
      <c r="E330" s="10">
        <v>174.28</v>
      </c>
      <c r="F330" s="10">
        <v>522.85</v>
      </c>
      <c r="G330" s="10">
        <v>4872.99</v>
      </c>
      <c r="H330" s="10">
        <v>4312.68</v>
      </c>
      <c r="I330" s="10">
        <v>-1919.6</v>
      </c>
      <c r="J330" s="10">
        <v>401.65</v>
      </c>
      <c r="K330" s="10">
        <v>0</v>
      </c>
      <c r="L330" s="10">
        <v>8647.06</v>
      </c>
      <c r="M330" s="10">
        <v>0</v>
      </c>
      <c r="N330" s="10">
        <f t="shared" si="70"/>
        <v>17186.189999999999</v>
      </c>
    </row>
    <row r="331" spans="1:14" x14ac:dyDescent="0.2">
      <c r="A331" s="17" t="s">
        <v>226</v>
      </c>
      <c r="B331" s="10">
        <v>0</v>
      </c>
      <c r="C331" s="10">
        <v>74.319999999999993</v>
      </c>
      <c r="D331" s="10">
        <v>2323.5500000000002</v>
      </c>
      <c r="E331" s="10">
        <v>937.95</v>
      </c>
      <c r="F331" s="10">
        <v>524.55999999999995</v>
      </c>
      <c r="G331" s="10">
        <v>13.78</v>
      </c>
      <c r="H331" s="10">
        <v>434.22</v>
      </c>
      <c r="I331" s="10">
        <v>444.92</v>
      </c>
      <c r="J331" s="10">
        <v>116.66</v>
      </c>
      <c r="K331" s="10">
        <v>721.12</v>
      </c>
      <c r="L331" s="10">
        <v>0</v>
      </c>
      <c r="M331" s="10">
        <v>133.54</v>
      </c>
      <c r="N331" s="10">
        <f t="shared" si="70"/>
        <v>5724.6200000000008</v>
      </c>
    </row>
    <row r="332" spans="1:14" x14ac:dyDescent="0.2">
      <c r="A332" s="17" t="s">
        <v>227</v>
      </c>
      <c r="B332" s="10">
        <v>3748.68</v>
      </c>
      <c r="C332" s="10">
        <v>2645.42</v>
      </c>
      <c r="D332" s="10">
        <v>5102.37</v>
      </c>
      <c r="E332" s="10">
        <v>3400.42</v>
      </c>
      <c r="F332" s="10">
        <v>2716.07</v>
      </c>
      <c r="G332" s="10">
        <v>2616.12</v>
      </c>
      <c r="H332" s="10">
        <v>3838.07</v>
      </c>
      <c r="I332" s="10">
        <v>3154.09</v>
      </c>
      <c r="J332" s="10">
        <v>2576.5</v>
      </c>
      <c r="K332" s="10">
        <v>4301.2700000000004</v>
      </c>
      <c r="L332" s="10">
        <v>1534.11</v>
      </c>
      <c r="M332" s="10">
        <v>2107.71</v>
      </c>
      <c r="N332" s="10">
        <f t="shared" si="70"/>
        <v>37740.83</v>
      </c>
    </row>
    <row r="333" spans="1:14" x14ac:dyDescent="0.2">
      <c r="A333" s="17" t="s">
        <v>228</v>
      </c>
      <c r="B333" s="10">
        <v>0</v>
      </c>
      <c r="C333" s="10">
        <v>89.99</v>
      </c>
      <c r="D333" s="10">
        <v>89.99</v>
      </c>
      <c r="E333" s="10">
        <v>44.85</v>
      </c>
      <c r="F333" s="10">
        <v>8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f t="shared" si="70"/>
        <v>232.82999999999998</v>
      </c>
    </row>
    <row r="334" spans="1:14" x14ac:dyDescent="0.2">
      <c r="A334" s="17" t="s">
        <v>229</v>
      </c>
      <c r="B334" s="10">
        <v>-34.58</v>
      </c>
      <c r="C334" s="10">
        <v>0</v>
      </c>
      <c r="D334" s="10">
        <v>237.49</v>
      </c>
      <c r="E334" s="10">
        <v>378.83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239.65</v>
      </c>
      <c r="L334" s="10">
        <v>0</v>
      </c>
      <c r="M334" s="10">
        <v>0</v>
      </c>
      <c r="N334" s="10">
        <f t="shared" si="70"/>
        <v>821.39</v>
      </c>
    </row>
    <row r="335" spans="1:14" x14ac:dyDescent="0.2">
      <c r="A335" s="17" t="s">
        <v>230</v>
      </c>
      <c r="B335" s="10">
        <v>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248.89</v>
      </c>
      <c r="I335" s="10">
        <v>0</v>
      </c>
      <c r="J335" s="10">
        <v>0</v>
      </c>
      <c r="K335" s="10">
        <v>1571.84</v>
      </c>
      <c r="L335" s="10">
        <v>1080.8</v>
      </c>
      <c r="M335" s="10">
        <v>1624.4</v>
      </c>
      <c r="N335" s="10">
        <f t="shared" si="70"/>
        <v>4525.93</v>
      </c>
    </row>
    <row r="336" spans="1:14" ht="4.95" customHeight="1" x14ac:dyDescent="0.2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1:14" ht="4.95" customHeight="1" x14ac:dyDescent="0.2"/>
    <row r="338" spans="1:14" x14ac:dyDescent="0.2">
      <c r="A338" s="16" t="s">
        <v>137</v>
      </c>
      <c r="B338" s="9">
        <f t="shared" ref="B338:N338" si="71">SUM(B320:B335)</f>
        <v>9766.93</v>
      </c>
      <c r="C338" s="9">
        <f t="shared" si="71"/>
        <v>4630.99</v>
      </c>
      <c r="D338" s="9">
        <f t="shared" si="71"/>
        <v>12572.84</v>
      </c>
      <c r="E338" s="9">
        <f t="shared" si="71"/>
        <v>7980.77</v>
      </c>
      <c r="F338" s="9">
        <f t="shared" si="71"/>
        <v>7674.73</v>
      </c>
      <c r="G338" s="9">
        <f t="shared" si="71"/>
        <v>12670.09</v>
      </c>
      <c r="H338" s="9">
        <f t="shared" si="71"/>
        <v>10281.450000000001</v>
      </c>
      <c r="I338" s="9">
        <f t="shared" si="71"/>
        <v>5450.2000000000007</v>
      </c>
      <c r="J338" s="9">
        <f t="shared" si="71"/>
        <v>9006.4399999999987</v>
      </c>
      <c r="K338" s="9">
        <f t="shared" si="71"/>
        <v>15076.170000000002</v>
      </c>
      <c r="L338" s="9">
        <f t="shared" si="71"/>
        <v>14903.66</v>
      </c>
      <c r="M338" s="9">
        <f t="shared" si="71"/>
        <v>7024.4399999999987</v>
      </c>
      <c r="N338" s="9">
        <f t="shared" si="71"/>
        <v>117038.70999999999</v>
      </c>
    </row>
    <row r="339" spans="1:14" ht="4.95" customHeight="1" x14ac:dyDescent="0.2"/>
    <row r="340" spans="1:14" ht="4.95" customHeight="1" x14ac:dyDescent="0.2"/>
    <row r="341" spans="1:14" x14ac:dyDescent="0.2">
      <c r="A341" s="16" t="s">
        <v>231</v>
      </c>
      <c r="B341" s="9">
        <f t="shared" ref="B341:N341" si="72">B287+B317+B338</f>
        <v>61224.100000000006</v>
      </c>
      <c r="C341" s="9">
        <f t="shared" si="72"/>
        <v>53604.06</v>
      </c>
      <c r="D341" s="9">
        <f t="shared" si="72"/>
        <v>100682.45000000001</v>
      </c>
      <c r="E341" s="9">
        <f t="shared" si="72"/>
        <v>125101.33</v>
      </c>
      <c r="F341" s="9">
        <f t="shared" si="72"/>
        <v>73508.14</v>
      </c>
      <c r="G341" s="9">
        <f t="shared" si="72"/>
        <v>69994.17</v>
      </c>
      <c r="H341" s="9">
        <f t="shared" si="72"/>
        <v>65278.42</v>
      </c>
      <c r="I341" s="9">
        <f t="shared" si="72"/>
        <v>35102.58</v>
      </c>
      <c r="J341" s="9">
        <f t="shared" si="72"/>
        <v>94980.11</v>
      </c>
      <c r="K341" s="9">
        <f t="shared" si="72"/>
        <v>137355.41</v>
      </c>
      <c r="L341" s="9">
        <f t="shared" si="72"/>
        <v>145932.64000000001</v>
      </c>
      <c r="M341" s="9">
        <f t="shared" si="72"/>
        <v>97550.23000000001</v>
      </c>
      <c r="N341" s="9">
        <f t="shared" si="72"/>
        <v>1060313.6399999999</v>
      </c>
    </row>
    <row r="342" spans="1:14" ht="4.95" customHeight="1" x14ac:dyDescent="0.2"/>
    <row r="343" spans="1:14" x14ac:dyDescent="0.2">
      <c r="A343" s="7" t="s">
        <v>232</v>
      </c>
      <c r="B343" s="9">
        <f t="shared" ref="B343:N343" si="73">B277-B341</f>
        <v>53269.119999999995</v>
      </c>
      <c r="C343" s="9">
        <f t="shared" si="73"/>
        <v>55925.95</v>
      </c>
      <c r="D343" s="9">
        <f t="shared" si="73"/>
        <v>137774.08000000002</v>
      </c>
      <c r="E343" s="9">
        <f t="shared" si="73"/>
        <v>154988.49</v>
      </c>
      <c r="F343" s="9">
        <f t="shared" si="73"/>
        <v>101053.93000000001</v>
      </c>
      <c r="G343" s="9">
        <f t="shared" si="73"/>
        <v>60542.25</v>
      </c>
      <c r="H343" s="9">
        <f t="shared" si="73"/>
        <v>3015.6699999999983</v>
      </c>
      <c r="I343" s="9">
        <f t="shared" si="73"/>
        <v>26812.18</v>
      </c>
      <c r="J343" s="9">
        <f t="shared" si="73"/>
        <v>119125.48999999998</v>
      </c>
      <c r="K343" s="9">
        <f t="shared" si="73"/>
        <v>232992.07000000004</v>
      </c>
      <c r="L343" s="9">
        <f t="shared" si="73"/>
        <v>119247.97999999998</v>
      </c>
      <c r="M343" s="9">
        <f t="shared" si="73"/>
        <v>125397.03000000003</v>
      </c>
      <c r="N343" s="9">
        <f t="shared" si="73"/>
        <v>1190144.24</v>
      </c>
    </row>
    <row r="344" spans="1:14" ht="4.95" customHeight="1" x14ac:dyDescent="0.2"/>
    <row r="345" spans="1:14" x14ac:dyDescent="0.2">
      <c r="A345" s="16" t="s">
        <v>233</v>
      </c>
    </row>
    <row r="347" spans="1:14" x14ac:dyDescent="0.2">
      <c r="A347" s="16" t="s">
        <v>234</v>
      </c>
    </row>
    <row r="348" spans="1:14" x14ac:dyDescent="0.2">
      <c r="A348" s="16" t="s">
        <v>235</v>
      </c>
    </row>
    <row r="349" spans="1:14" x14ac:dyDescent="0.2">
      <c r="A349" s="17" t="s">
        <v>236</v>
      </c>
      <c r="B349" s="10">
        <v>25603.68</v>
      </c>
      <c r="C349" s="10">
        <v>42577.18</v>
      </c>
      <c r="D349" s="10">
        <v>41595.99</v>
      </c>
      <c r="E349" s="10">
        <v>33437.21</v>
      </c>
      <c r="F349" s="10">
        <v>30759.24</v>
      </c>
      <c r="G349" s="10">
        <v>28986.62</v>
      </c>
      <c r="H349" s="10">
        <v>24570.76</v>
      </c>
      <c r="I349" s="10">
        <v>24819.65</v>
      </c>
      <c r="J349" s="10">
        <v>28480.2</v>
      </c>
      <c r="K349" s="10">
        <v>27222.55</v>
      </c>
      <c r="L349" s="10">
        <v>28322.45</v>
      </c>
      <c r="M349" s="10">
        <v>18060.66</v>
      </c>
      <c r="N349" s="10">
        <f>B349+C349+D349+E349+F349+G349+H349+I349+J349+K349+L349+M349</f>
        <v>354436.18999999994</v>
      </c>
    </row>
    <row r="350" spans="1:14" x14ac:dyDescent="0.2">
      <c r="A350" s="17" t="s">
        <v>237</v>
      </c>
      <c r="B350" s="10">
        <v>5420.27</v>
      </c>
      <c r="C350" s="10">
        <v>83.5</v>
      </c>
      <c r="D350" s="10">
        <v>405</v>
      </c>
      <c r="E350" s="10">
        <v>5655.25</v>
      </c>
      <c r="F350" s="10">
        <v>6259.3</v>
      </c>
      <c r="G350" s="10">
        <v>5858.85</v>
      </c>
      <c r="H350" s="10">
        <v>3616.85</v>
      </c>
      <c r="I350" s="10">
        <v>5897.8</v>
      </c>
      <c r="J350" s="10">
        <v>4294.45</v>
      </c>
      <c r="K350" s="10">
        <v>4958.6499999999996</v>
      </c>
      <c r="L350" s="10">
        <v>4822.2</v>
      </c>
      <c r="M350" s="10">
        <v>2911.85</v>
      </c>
      <c r="N350" s="10">
        <f>B350+C350+D350+E350+F350+G350+H350+I350+J350+K350+L350+M350</f>
        <v>50183.969999999994</v>
      </c>
    </row>
    <row r="351" spans="1:14" x14ac:dyDescent="0.2">
      <c r="A351" s="17" t="s">
        <v>238</v>
      </c>
      <c r="B351" s="10">
        <v>166.28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f>B351+C351+D351+E351+F351+G351+H351+I351+J351+K351+L351+M351</f>
        <v>166.28</v>
      </c>
    </row>
    <row r="352" spans="1:14" ht="4.95" customHeight="1" x14ac:dyDescent="0.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1:14" ht="4.95" customHeight="1" x14ac:dyDescent="0.2"/>
    <row r="354" spans="1:14" x14ac:dyDescent="0.2">
      <c r="A354" s="16" t="s">
        <v>239</v>
      </c>
      <c r="B354" s="9">
        <f t="shared" ref="B354:N354" si="74">SUM(B349:B351)</f>
        <v>31190.23</v>
      </c>
      <c r="C354" s="9">
        <f t="shared" si="74"/>
        <v>42660.68</v>
      </c>
      <c r="D354" s="9">
        <f t="shared" si="74"/>
        <v>42000.99</v>
      </c>
      <c r="E354" s="9">
        <f t="shared" si="74"/>
        <v>39092.46</v>
      </c>
      <c r="F354" s="9">
        <f t="shared" si="74"/>
        <v>37018.54</v>
      </c>
      <c r="G354" s="9">
        <f t="shared" si="74"/>
        <v>34845.47</v>
      </c>
      <c r="H354" s="9">
        <f t="shared" si="74"/>
        <v>28187.609999999997</v>
      </c>
      <c r="I354" s="9">
        <f t="shared" si="74"/>
        <v>30717.45</v>
      </c>
      <c r="J354" s="9">
        <f t="shared" si="74"/>
        <v>32774.65</v>
      </c>
      <c r="K354" s="9">
        <f t="shared" si="74"/>
        <v>32181.199999999997</v>
      </c>
      <c r="L354" s="9">
        <f t="shared" si="74"/>
        <v>33144.65</v>
      </c>
      <c r="M354" s="9">
        <f t="shared" si="74"/>
        <v>20972.51</v>
      </c>
      <c r="N354" s="9">
        <f t="shared" si="74"/>
        <v>404786.43999999994</v>
      </c>
    </row>
    <row r="355" spans="1:14" ht="4.95" customHeight="1" x14ac:dyDescent="0.2"/>
    <row r="356" spans="1:14" x14ac:dyDescent="0.2">
      <c r="A356" s="16" t="s">
        <v>240</v>
      </c>
    </row>
    <row r="357" spans="1:14" x14ac:dyDescent="0.2">
      <c r="A357" s="17" t="s">
        <v>241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16.5</v>
      </c>
      <c r="N357" s="10">
        <f>B357+C357+D357+E357+F357+G357+H357+I357+J357+K357+L357+M357</f>
        <v>16.5</v>
      </c>
    </row>
    <row r="358" spans="1:14" x14ac:dyDescent="0.2">
      <c r="A358" s="17" t="s">
        <v>242</v>
      </c>
      <c r="B358" s="10">
        <v>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350</v>
      </c>
      <c r="M358" s="10">
        <v>189</v>
      </c>
      <c r="N358" s="10">
        <f>B358+C358+D358+E358+F358+G358+H358+I358+J358+K358+L358+M358</f>
        <v>539</v>
      </c>
    </row>
    <row r="359" spans="1:14" ht="4.95" customHeight="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1:14" ht="4.95" customHeight="1" x14ac:dyDescent="0.2"/>
    <row r="361" spans="1:14" x14ac:dyDescent="0.2">
      <c r="A361" s="16" t="s">
        <v>243</v>
      </c>
      <c r="B361" s="9">
        <f t="shared" ref="B361:N361" si="75">SUM(B357:B358)</f>
        <v>0</v>
      </c>
      <c r="C361" s="9">
        <f t="shared" si="75"/>
        <v>0</v>
      </c>
      <c r="D361" s="9">
        <f t="shared" si="75"/>
        <v>0</v>
      </c>
      <c r="E361" s="9">
        <f t="shared" si="75"/>
        <v>0</v>
      </c>
      <c r="F361" s="9">
        <f t="shared" si="75"/>
        <v>0</v>
      </c>
      <c r="G361" s="9">
        <f t="shared" si="75"/>
        <v>0</v>
      </c>
      <c r="H361" s="9">
        <f t="shared" si="75"/>
        <v>0</v>
      </c>
      <c r="I361" s="9">
        <f t="shared" si="75"/>
        <v>0</v>
      </c>
      <c r="J361" s="9">
        <f t="shared" si="75"/>
        <v>0</v>
      </c>
      <c r="K361" s="9">
        <f t="shared" si="75"/>
        <v>0</v>
      </c>
      <c r="L361" s="9">
        <f t="shared" si="75"/>
        <v>350</v>
      </c>
      <c r="M361" s="9">
        <f t="shared" si="75"/>
        <v>205.5</v>
      </c>
      <c r="N361" s="9">
        <f t="shared" si="75"/>
        <v>555.5</v>
      </c>
    </row>
    <row r="362" spans="1:14" ht="4.95" customHeight="1" x14ac:dyDescent="0.2"/>
    <row r="363" spans="1:14" ht="4.95" customHeight="1" x14ac:dyDescent="0.2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1:14" ht="4.95" customHeight="1" x14ac:dyDescent="0.2"/>
    <row r="365" spans="1:14" x14ac:dyDescent="0.2">
      <c r="A365" s="16" t="s">
        <v>244</v>
      </c>
      <c r="B365" s="9">
        <f t="shared" ref="B365:N365" si="76">B354+B361</f>
        <v>31190.23</v>
      </c>
      <c r="C365" s="9">
        <f t="shared" si="76"/>
        <v>42660.68</v>
      </c>
      <c r="D365" s="9">
        <f t="shared" si="76"/>
        <v>42000.99</v>
      </c>
      <c r="E365" s="9">
        <f t="shared" si="76"/>
        <v>39092.46</v>
      </c>
      <c r="F365" s="9">
        <f t="shared" si="76"/>
        <v>37018.54</v>
      </c>
      <c r="G365" s="9">
        <f t="shared" si="76"/>
        <v>34845.47</v>
      </c>
      <c r="H365" s="9">
        <f t="shared" si="76"/>
        <v>28187.609999999997</v>
      </c>
      <c r="I365" s="9">
        <f t="shared" si="76"/>
        <v>30717.45</v>
      </c>
      <c r="J365" s="9">
        <f t="shared" si="76"/>
        <v>32774.65</v>
      </c>
      <c r="K365" s="9">
        <f t="shared" si="76"/>
        <v>32181.199999999997</v>
      </c>
      <c r="L365" s="9">
        <f t="shared" si="76"/>
        <v>33494.65</v>
      </c>
      <c r="M365" s="9">
        <f t="shared" si="76"/>
        <v>21178.01</v>
      </c>
      <c r="N365" s="9">
        <f t="shared" si="76"/>
        <v>405341.93999999994</v>
      </c>
    </row>
    <row r="367" spans="1:14" x14ac:dyDescent="0.2">
      <c r="A367" s="16" t="s">
        <v>245</v>
      </c>
    </row>
    <row r="368" spans="1:14" x14ac:dyDescent="0.2">
      <c r="A368" s="17" t="s">
        <v>246</v>
      </c>
      <c r="B368" s="10">
        <v>6718.63</v>
      </c>
      <c r="C368" s="10">
        <v>9602.57</v>
      </c>
      <c r="D368" s="10">
        <v>9319.4</v>
      </c>
      <c r="E368" s="10">
        <v>9762.57</v>
      </c>
      <c r="F368" s="10">
        <v>9187.85</v>
      </c>
      <c r="G368" s="10">
        <v>8068.3</v>
      </c>
      <c r="H368" s="10">
        <v>9224.2099999999991</v>
      </c>
      <c r="I368" s="10">
        <v>7007.59</v>
      </c>
      <c r="J368" s="10">
        <v>7949.61</v>
      </c>
      <c r="K368" s="10">
        <v>6885.08</v>
      </c>
      <c r="L368" s="10">
        <v>11524.58</v>
      </c>
      <c r="M368" s="10">
        <v>5025.95</v>
      </c>
      <c r="N368" s="10">
        <f>B368+C368+D368+E368+F368+G368+H368+I368+J368+K368+L368+M368</f>
        <v>100276.34</v>
      </c>
    </row>
    <row r="369" spans="1:14" x14ac:dyDescent="0.2">
      <c r="A369" s="17" t="s">
        <v>247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53.23</v>
      </c>
      <c r="M369" s="10">
        <v>27.63</v>
      </c>
      <c r="N369" s="10">
        <f>B369+C369+D369+E369+F369+G369+H369+I369+J369+K369+L369+M369</f>
        <v>80.86</v>
      </c>
    </row>
    <row r="370" spans="1:14" ht="4.95" customHeight="1" x14ac:dyDescent="0.2"/>
    <row r="371" spans="1:14" ht="4.95" customHeight="1" x14ac:dyDescent="0.2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1:14" ht="4.95" customHeight="1" x14ac:dyDescent="0.2"/>
    <row r="373" spans="1:14" x14ac:dyDescent="0.2">
      <c r="A373" s="16" t="s">
        <v>248</v>
      </c>
      <c r="B373" s="9">
        <f t="shared" ref="B373:N373" si="77">SUM(B368:B369)</f>
        <v>6718.63</v>
      </c>
      <c r="C373" s="9">
        <f t="shared" si="77"/>
        <v>9602.57</v>
      </c>
      <c r="D373" s="9">
        <f t="shared" si="77"/>
        <v>9319.4</v>
      </c>
      <c r="E373" s="9">
        <f t="shared" si="77"/>
        <v>9762.57</v>
      </c>
      <c r="F373" s="9">
        <f t="shared" si="77"/>
        <v>9187.85</v>
      </c>
      <c r="G373" s="9">
        <f t="shared" si="77"/>
        <v>8068.3</v>
      </c>
      <c r="H373" s="9">
        <f t="shared" si="77"/>
        <v>9224.2099999999991</v>
      </c>
      <c r="I373" s="9">
        <f t="shared" si="77"/>
        <v>7007.59</v>
      </c>
      <c r="J373" s="9">
        <f t="shared" si="77"/>
        <v>7949.61</v>
      </c>
      <c r="K373" s="9">
        <f t="shared" si="77"/>
        <v>6885.08</v>
      </c>
      <c r="L373" s="9">
        <f t="shared" si="77"/>
        <v>11577.81</v>
      </c>
      <c r="M373" s="9">
        <f t="shared" si="77"/>
        <v>5053.58</v>
      </c>
      <c r="N373" s="9">
        <f t="shared" si="77"/>
        <v>100357.2</v>
      </c>
    </row>
    <row r="374" spans="1:14" ht="4.95" customHeight="1" x14ac:dyDescent="0.2"/>
    <row r="375" spans="1:14" x14ac:dyDescent="0.2">
      <c r="A375" s="16" t="s">
        <v>192</v>
      </c>
      <c r="B375" s="9">
        <f t="shared" ref="B375:N375" si="78">(B365)-(B373)</f>
        <v>24471.599999999999</v>
      </c>
      <c r="C375" s="9">
        <f t="shared" si="78"/>
        <v>33058.11</v>
      </c>
      <c r="D375" s="9">
        <f t="shared" si="78"/>
        <v>32681.589999999997</v>
      </c>
      <c r="E375" s="9">
        <f t="shared" si="78"/>
        <v>29329.89</v>
      </c>
      <c r="F375" s="9">
        <f t="shared" si="78"/>
        <v>27830.690000000002</v>
      </c>
      <c r="G375" s="9">
        <f t="shared" si="78"/>
        <v>26777.170000000002</v>
      </c>
      <c r="H375" s="9">
        <f t="shared" si="78"/>
        <v>18963.399999999998</v>
      </c>
      <c r="I375" s="9">
        <f t="shared" si="78"/>
        <v>23709.86</v>
      </c>
      <c r="J375" s="9">
        <f t="shared" si="78"/>
        <v>24825.040000000001</v>
      </c>
      <c r="K375" s="9">
        <f t="shared" si="78"/>
        <v>25296.119999999995</v>
      </c>
      <c r="L375" s="9">
        <f t="shared" si="78"/>
        <v>21916.840000000004</v>
      </c>
      <c r="M375" s="9">
        <f t="shared" si="78"/>
        <v>16124.429999999998</v>
      </c>
      <c r="N375" s="9">
        <f t="shared" si="78"/>
        <v>304984.73999999993</v>
      </c>
    </row>
    <row r="377" spans="1:14" x14ac:dyDescent="0.2">
      <c r="A377" s="16" t="s">
        <v>249</v>
      </c>
    </row>
    <row r="379" spans="1:14" x14ac:dyDescent="0.2">
      <c r="A379" s="16" t="s">
        <v>250</v>
      </c>
    </row>
    <row r="380" spans="1:14" x14ac:dyDescent="0.2">
      <c r="A380" s="16" t="s">
        <v>251</v>
      </c>
    </row>
    <row r="381" spans="1:14" x14ac:dyDescent="0.2">
      <c r="A381" s="17" t="s">
        <v>252</v>
      </c>
      <c r="B381" s="10">
        <v>6153.6</v>
      </c>
      <c r="C381" s="10">
        <v>6153.6</v>
      </c>
      <c r="D381" s="10">
        <v>7076.64</v>
      </c>
      <c r="E381" s="10">
        <v>6153.6</v>
      </c>
      <c r="F381" s="10">
        <v>7076.64</v>
      </c>
      <c r="G381" s="10">
        <v>6153.6</v>
      </c>
      <c r="H381" s="10">
        <v>6153.6</v>
      </c>
      <c r="I381" s="10">
        <v>6461.28</v>
      </c>
      <c r="J381" s="10">
        <v>6329.92</v>
      </c>
      <c r="K381" s="10">
        <v>6973.12</v>
      </c>
      <c r="L381" s="10">
        <v>2535.6799999999998</v>
      </c>
      <c r="M381" s="10">
        <v>0</v>
      </c>
      <c r="N381" s="10">
        <f>B381+C381+D381+E381+F381+G381+H381+I381+J381+K381+L381+M381</f>
        <v>67221.279999999999</v>
      </c>
    </row>
    <row r="382" spans="1:14" x14ac:dyDescent="0.2">
      <c r="A382" s="17" t="s">
        <v>253</v>
      </c>
      <c r="B382" s="10">
        <v>4231.04</v>
      </c>
      <c r="C382" s="10">
        <v>3846.4</v>
      </c>
      <c r="D382" s="10">
        <v>4423.3599999999997</v>
      </c>
      <c r="E382" s="10">
        <v>3846.4</v>
      </c>
      <c r="F382" s="10">
        <v>4423.3599999999997</v>
      </c>
      <c r="G382" s="10">
        <v>4038.72</v>
      </c>
      <c r="H382" s="10">
        <v>3846.4</v>
      </c>
      <c r="I382" s="10">
        <v>3654.08</v>
      </c>
      <c r="J382" s="10">
        <v>3763.52</v>
      </c>
      <c r="K382" s="10">
        <v>4357.76</v>
      </c>
      <c r="L382" s="10">
        <v>4159.68</v>
      </c>
      <c r="M382" s="10">
        <v>4159.68</v>
      </c>
      <c r="N382" s="10">
        <f>B382+C382+D382+E382+F382+G382+H382+I382+J382+K382+L382+M382</f>
        <v>48750.400000000001</v>
      </c>
    </row>
    <row r="383" spans="1:14" x14ac:dyDescent="0.2">
      <c r="A383" s="17" t="s">
        <v>254</v>
      </c>
      <c r="B383" s="10">
        <v>7789.93</v>
      </c>
      <c r="C383" s="10">
        <v>7172.79</v>
      </c>
      <c r="D383" s="10">
        <v>8623.74</v>
      </c>
      <c r="E383" s="10">
        <v>7734.67</v>
      </c>
      <c r="F383" s="10">
        <v>8778.5300000000007</v>
      </c>
      <c r="G383" s="10">
        <v>7633.08</v>
      </c>
      <c r="H383" s="10">
        <v>7462.86</v>
      </c>
      <c r="I383" s="10">
        <v>7212.42</v>
      </c>
      <c r="J383" s="10">
        <v>3557.06</v>
      </c>
      <c r="K383" s="10">
        <v>7943.86</v>
      </c>
      <c r="L383" s="10">
        <v>7355.6</v>
      </c>
      <c r="M383" s="10">
        <v>7651.65</v>
      </c>
      <c r="N383" s="10">
        <f>B383+C383+D383+E383+F383+G383+H383+I383+J383+K383+L383+M383</f>
        <v>88916.19</v>
      </c>
    </row>
    <row r="384" spans="1:14" x14ac:dyDescent="0.2">
      <c r="A384" s="16" t="s">
        <v>255</v>
      </c>
      <c r="B384" s="9">
        <f t="shared" ref="B384:N384" si="79">SUM(B381:B383)</f>
        <v>18174.57</v>
      </c>
      <c r="C384" s="9">
        <f t="shared" si="79"/>
        <v>17172.79</v>
      </c>
      <c r="D384" s="9">
        <f t="shared" si="79"/>
        <v>20123.739999999998</v>
      </c>
      <c r="E384" s="9">
        <f t="shared" si="79"/>
        <v>17734.669999999998</v>
      </c>
      <c r="F384" s="9">
        <f t="shared" si="79"/>
        <v>20278.53</v>
      </c>
      <c r="G384" s="9">
        <f t="shared" si="79"/>
        <v>17825.400000000001</v>
      </c>
      <c r="H384" s="9">
        <f t="shared" si="79"/>
        <v>17462.86</v>
      </c>
      <c r="I384" s="9">
        <f t="shared" si="79"/>
        <v>17327.78</v>
      </c>
      <c r="J384" s="9">
        <f t="shared" si="79"/>
        <v>13650.5</v>
      </c>
      <c r="K384" s="9">
        <f t="shared" si="79"/>
        <v>19274.740000000002</v>
      </c>
      <c r="L384" s="9">
        <f t="shared" si="79"/>
        <v>14050.960000000001</v>
      </c>
      <c r="M384" s="9">
        <f t="shared" si="79"/>
        <v>11811.33</v>
      </c>
      <c r="N384" s="9">
        <f t="shared" si="79"/>
        <v>204887.87</v>
      </c>
    </row>
    <row r="386" spans="1:14" x14ac:dyDescent="0.2">
      <c r="A386" s="16" t="s">
        <v>256</v>
      </c>
    </row>
    <row r="387" spans="1:14" x14ac:dyDescent="0.2">
      <c r="A387" s="17" t="s">
        <v>257</v>
      </c>
      <c r="B387" s="10">
        <v>1931.75</v>
      </c>
      <c r="C387" s="10">
        <v>1936.7</v>
      </c>
      <c r="D387" s="10">
        <v>2506.38</v>
      </c>
      <c r="E387" s="10">
        <v>2099.44</v>
      </c>
      <c r="F387" s="10">
        <v>2167.27</v>
      </c>
      <c r="G387" s="10">
        <v>2202.5</v>
      </c>
      <c r="H387" s="10">
        <v>1673.95</v>
      </c>
      <c r="I387" s="10">
        <v>1373.8</v>
      </c>
      <c r="J387" s="10">
        <v>1604.05</v>
      </c>
      <c r="K387" s="10">
        <v>1983.38</v>
      </c>
      <c r="L387" s="10">
        <v>1843.82</v>
      </c>
      <c r="M387" s="10">
        <v>1406.88</v>
      </c>
      <c r="N387" s="10">
        <f>B387+C387+D387+E387+F387+G387+H387+I387+J387+K387+L387+M387</f>
        <v>22729.920000000002</v>
      </c>
    </row>
    <row r="388" spans="1:14" x14ac:dyDescent="0.2">
      <c r="A388" s="17" t="s">
        <v>258</v>
      </c>
      <c r="B388" s="10">
        <v>14616.76</v>
      </c>
      <c r="C388" s="10">
        <v>15069.8</v>
      </c>
      <c r="D388" s="10">
        <v>19191.759999999998</v>
      </c>
      <c r="E388" s="10">
        <v>23539.29</v>
      </c>
      <c r="F388" s="10">
        <v>18188.02</v>
      </c>
      <c r="G388" s="10">
        <v>16645.259999999998</v>
      </c>
      <c r="H388" s="10">
        <v>16853.48</v>
      </c>
      <c r="I388" s="10">
        <v>14259.23</v>
      </c>
      <c r="J388" s="10">
        <v>19997.78</v>
      </c>
      <c r="K388" s="10">
        <v>22772.34</v>
      </c>
      <c r="L388" s="10">
        <v>20371.419999999998</v>
      </c>
      <c r="M388" s="10">
        <v>22704.65</v>
      </c>
      <c r="N388" s="10">
        <f>B388+C388+D388+E388+F388+G388+H388+I388+J388+K388+L388+M388</f>
        <v>224209.78999999995</v>
      </c>
    </row>
    <row r="389" spans="1:14" x14ac:dyDescent="0.2">
      <c r="A389" s="17" t="s">
        <v>259</v>
      </c>
      <c r="B389" s="10">
        <v>4183.93</v>
      </c>
      <c r="C389" s="10">
        <v>3216.42</v>
      </c>
      <c r="D389" s="10">
        <v>3842.92</v>
      </c>
      <c r="E389" s="10">
        <v>2530.66</v>
      </c>
      <c r="F389" s="10">
        <v>3443.93</v>
      </c>
      <c r="G389" s="10">
        <v>3815.88</v>
      </c>
      <c r="H389" s="10">
        <v>3734.11</v>
      </c>
      <c r="I389" s="10">
        <v>2593.42</v>
      </c>
      <c r="J389" s="10">
        <v>1324.21</v>
      </c>
      <c r="K389" s="10">
        <v>3731.09</v>
      </c>
      <c r="L389" s="10">
        <v>3607.58</v>
      </c>
      <c r="M389" s="10">
        <v>2787.87</v>
      </c>
      <c r="N389" s="10">
        <f>B389+C389+D389+E389+F389+G389+H389+I389+J389+K389+L389+M389</f>
        <v>38812.020000000004</v>
      </c>
    </row>
    <row r="390" spans="1:14" x14ac:dyDescent="0.2">
      <c r="A390" s="16" t="s">
        <v>260</v>
      </c>
      <c r="B390" s="9">
        <f t="shared" ref="B390:N390" si="80">SUM(B387:B389)</f>
        <v>20732.440000000002</v>
      </c>
      <c r="C390" s="9">
        <f t="shared" si="80"/>
        <v>20222.919999999998</v>
      </c>
      <c r="D390" s="9">
        <f t="shared" si="80"/>
        <v>25541.059999999998</v>
      </c>
      <c r="E390" s="9">
        <f t="shared" si="80"/>
        <v>28169.39</v>
      </c>
      <c r="F390" s="9">
        <f t="shared" si="80"/>
        <v>23799.22</v>
      </c>
      <c r="G390" s="9">
        <f t="shared" si="80"/>
        <v>22663.64</v>
      </c>
      <c r="H390" s="9">
        <f t="shared" si="80"/>
        <v>22261.54</v>
      </c>
      <c r="I390" s="9">
        <f t="shared" si="80"/>
        <v>18226.449999999997</v>
      </c>
      <c r="J390" s="9">
        <f t="shared" si="80"/>
        <v>22926.039999999997</v>
      </c>
      <c r="K390" s="9">
        <f t="shared" si="80"/>
        <v>28486.81</v>
      </c>
      <c r="L390" s="9">
        <f t="shared" si="80"/>
        <v>25822.82</v>
      </c>
      <c r="M390" s="9">
        <f t="shared" si="80"/>
        <v>26899.4</v>
      </c>
      <c r="N390" s="9">
        <f t="shared" si="80"/>
        <v>285751.73</v>
      </c>
    </row>
    <row r="391" spans="1:14" x14ac:dyDescent="0.2">
      <c r="A391" s="16" t="s">
        <v>261</v>
      </c>
      <c r="B391" s="9">
        <f t="shared" ref="B391:N391" si="81">B384+B390</f>
        <v>38907.01</v>
      </c>
      <c r="C391" s="9">
        <f t="shared" si="81"/>
        <v>37395.71</v>
      </c>
      <c r="D391" s="9">
        <f t="shared" si="81"/>
        <v>45664.799999999996</v>
      </c>
      <c r="E391" s="9">
        <f t="shared" si="81"/>
        <v>45904.06</v>
      </c>
      <c r="F391" s="9">
        <f t="shared" si="81"/>
        <v>44077.75</v>
      </c>
      <c r="G391" s="9">
        <f t="shared" si="81"/>
        <v>40489.040000000001</v>
      </c>
      <c r="H391" s="9">
        <f t="shared" si="81"/>
        <v>39724.400000000001</v>
      </c>
      <c r="I391" s="9">
        <f t="shared" si="81"/>
        <v>35554.229999999996</v>
      </c>
      <c r="J391" s="9">
        <f t="shared" si="81"/>
        <v>36576.539999999994</v>
      </c>
      <c r="K391" s="9">
        <f t="shared" si="81"/>
        <v>47761.55</v>
      </c>
      <c r="L391" s="9">
        <f t="shared" si="81"/>
        <v>39873.78</v>
      </c>
      <c r="M391" s="9">
        <f t="shared" si="81"/>
        <v>38710.730000000003</v>
      </c>
      <c r="N391" s="9">
        <f t="shared" si="81"/>
        <v>490639.6</v>
      </c>
    </row>
    <row r="393" spans="1:14" x14ac:dyDescent="0.2">
      <c r="A393" s="16" t="s">
        <v>262</v>
      </c>
    </row>
    <row r="394" spans="1:14" x14ac:dyDescent="0.2">
      <c r="A394" s="17" t="s">
        <v>263</v>
      </c>
      <c r="B394" s="10">
        <v>4539.42</v>
      </c>
      <c r="C394" s="10">
        <v>4734.6400000000003</v>
      </c>
      <c r="D394" s="10">
        <v>3597.19</v>
      </c>
      <c r="E394" s="10">
        <v>5536.61</v>
      </c>
      <c r="F394" s="10">
        <v>3179.63</v>
      </c>
      <c r="G394" s="10">
        <v>3277.66</v>
      </c>
      <c r="H394" s="10">
        <v>2839.26</v>
      </c>
      <c r="I394" s="10">
        <v>2728.4</v>
      </c>
      <c r="J394" s="10">
        <v>5811.59</v>
      </c>
      <c r="K394" s="10">
        <v>3366.45</v>
      </c>
      <c r="L394" s="10">
        <v>3212.1</v>
      </c>
      <c r="M394" s="10">
        <v>2788.89</v>
      </c>
      <c r="N394" s="10">
        <f t="shared" ref="N394:N399" si="82">B394+C394+D394+E394+F394+G394+H394+I394+J394+K394+L394+M394</f>
        <v>45611.840000000004</v>
      </c>
    </row>
    <row r="395" spans="1:14" x14ac:dyDescent="0.2">
      <c r="A395" s="17" t="s">
        <v>264</v>
      </c>
      <c r="B395" s="10">
        <v>296.5</v>
      </c>
      <c r="C395" s="10">
        <v>296.58</v>
      </c>
      <c r="D395" s="10">
        <v>299.41000000000003</v>
      </c>
      <c r="E395" s="10">
        <v>296.72000000000003</v>
      </c>
      <c r="F395" s="10">
        <v>312.99</v>
      </c>
      <c r="G395" s="10">
        <v>295.11</v>
      </c>
      <c r="H395" s="10">
        <v>279.66000000000003</v>
      </c>
      <c r="I395" s="10">
        <v>207.44</v>
      </c>
      <c r="J395" s="10">
        <v>277.08999999999997</v>
      </c>
      <c r="K395" s="10">
        <v>234.6</v>
      </c>
      <c r="L395" s="10">
        <v>219.73</v>
      </c>
      <c r="M395" s="10">
        <v>209.48</v>
      </c>
      <c r="N395" s="10">
        <f t="shared" si="82"/>
        <v>3225.31</v>
      </c>
    </row>
    <row r="396" spans="1:14" x14ac:dyDescent="0.2">
      <c r="A396" s="17" t="s">
        <v>265</v>
      </c>
      <c r="B396" s="10">
        <v>582.64</v>
      </c>
      <c r="C396" s="10">
        <v>1008.73</v>
      </c>
      <c r="D396" s="10">
        <v>850.19</v>
      </c>
      <c r="E396" s="10">
        <v>545.29999999999995</v>
      </c>
      <c r="F396" s="10">
        <v>946.33</v>
      </c>
      <c r="G396" s="10">
        <v>816.99</v>
      </c>
      <c r="H396" s="10">
        <v>1034.26</v>
      </c>
      <c r="I396" s="10">
        <v>840.43</v>
      </c>
      <c r="J396" s="10">
        <v>695.63</v>
      </c>
      <c r="K396" s="10">
        <v>1241</v>
      </c>
      <c r="L396" s="10">
        <v>992.82</v>
      </c>
      <c r="M396" s="10">
        <v>984.51</v>
      </c>
      <c r="N396" s="10">
        <f t="shared" si="82"/>
        <v>10538.83</v>
      </c>
    </row>
    <row r="397" spans="1:14" x14ac:dyDescent="0.2">
      <c r="A397" s="17" t="s">
        <v>266</v>
      </c>
      <c r="B397" s="10">
        <v>806.88</v>
      </c>
      <c r="C397" s="10">
        <v>0</v>
      </c>
      <c r="D397" s="10">
        <v>127.92</v>
      </c>
      <c r="E397" s="10">
        <v>60.58</v>
      </c>
      <c r="F397" s="10">
        <v>1168.8</v>
      </c>
      <c r="G397" s="10">
        <v>101.34</v>
      </c>
      <c r="H397" s="10">
        <v>849.6</v>
      </c>
      <c r="I397" s="10">
        <v>3552.49</v>
      </c>
      <c r="J397" s="10">
        <v>6669.6</v>
      </c>
      <c r="K397" s="10">
        <v>298</v>
      </c>
      <c r="L397" s="10">
        <v>174</v>
      </c>
      <c r="M397" s="10">
        <v>291.83999999999997</v>
      </c>
      <c r="N397" s="10">
        <f t="shared" si="82"/>
        <v>14101.05</v>
      </c>
    </row>
    <row r="398" spans="1:14" x14ac:dyDescent="0.2">
      <c r="A398" s="17" t="s">
        <v>267</v>
      </c>
      <c r="B398" s="10">
        <v>143.63999999999999</v>
      </c>
      <c r="C398" s="10">
        <v>0</v>
      </c>
      <c r="D398" s="10">
        <v>0</v>
      </c>
      <c r="E398" s="10">
        <v>0</v>
      </c>
      <c r="F398" s="10">
        <v>233.52</v>
      </c>
      <c r="G398" s="10">
        <v>423.68</v>
      </c>
      <c r="H398" s="10">
        <v>0</v>
      </c>
      <c r="I398" s="10">
        <v>1327.76</v>
      </c>
      <c r="J398" s="10">
        <v>594.96</v>
      </c>
      <c r="K398" s="10">
        <v>120</v>
      </c>
      <c r="L398" s="10">
        <v>236.08</v>
      </c>
      <c r="M398" s="10">
        <v>767.44</v>
      </c>
      <c r="N398" s="10">
        <f t="shared" si="82"/>
        <v>3847.08</v>
      </c>
    </row>
    <row r="399" spans="1:14" x14ac:dyDescent="0.2">
      <c r="A399" s="17" t="s">
        <v>268</v>
      </c>
      <c r="B399" s="10">
        <v>3099.25</v>
      </c>
      <c r="C399" s="10">
        <v>120</v>
      </c>
      <c r="D399" s="10">
        <v>0</v>
      </c>
      <c r="E399" s="10">
        <v>58</v>
      </c>
      <c r="F399" s="10">
        <v>249.52</v>
      </c>
      <c r="G399" s="10">
        <v>1638.28</v>
      </c>
      <c r="H399" s="10">
        <v>1687.73</v>
      </c>
      <c r="I399" s="10">
        <v>0</v>
      </c>
      <c r="J399" s="10">
        <v>1901.13</v>
      </c>
      <c r="K399" s="10">
        <v>260</v>
      </c>
      <c r="L399" s="10">
        <v>1697.92</v>
      </c>
      <c r="M399" s="10">
        <v>118.24</v>
      </c>
      <c r="N399" s="10">
        <f t="shared" si="82"/>
        <v>10830.07</v>
      </c>
    </row>
    <row r="400" spans="1:14" x14ac:dyDescent="0.2">
      <c r="A400" s="16" t="s">
        <v>269</v>
      </c>
      <c r="B400" s="9">
        <f t="shared" ref="B400:N400" si="83">SUM(B394:B399)</f>
        <v>9468.3300000000017</v>
      </c>
      <c r="C400" s="9">
        <f t="shared" si="83"/>
        <v>6159.9500000000007</v>
      </c>
      <c r="D400" s="9">
        <f t="shared" si="83"/>
        <v>4874.71</v>
      </c>
      <c r="E400" s="9">
        <f t="shared" si="83"/>
        <v>6497.21</v>
      </c>
      <c r="F400" s="9">
        <f t="shared" si="83"/>
        <v>6090.7900000000009</v>
      </c>
      <c r="G400" s="9">
        <f t="shared" si="83"/>
        <v>6553.06</v>
      </c>
      <c r="H400" s="9">
        <f t="shared" si="83"/>
        <v>6690.51</v>
      </c>
      <c r="I400" s="9">
        <f t="shared" si="83"/>
        <v>8656.52</v>
      </c>
      <c r="J400" s="9">
        <f t="shared" si="83"/>
        <v>15950</v>
      </c>
      <c r="K400" s="9">
        <f t="shared" si="83"/>
        <v>5520.0499999999993</v>
      </c>
      <c r="L400" s="9">
        <f t="shared" si="83"/>
        <v>6532.65</v>
      </c>
      <c r="M400" s="9">
        <f t="shared" si="83"/>
        <v>5160.3999999999996</v>
      </c>
      <c r="N400" s="9">
        <f t="shared" si="83"/>
        <v>88154.18</v>
      </c>
    </row>
    <row r="401" spans="1:14" ht="4.95" customHeight="1" x14ac:dyDescent="0.2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 ht="4.95" customHeight="1" x14ac:dyDescent="0.2"/>
    <row r="403" spans="1:14" x14ac:dyDescent="0.2">
      <c r="A403" s="16" t="s">
        <v>270</v>
      </c>
      <c r="B403" s="9">
        <f t="shared" ref="B403:N403" si="84">B391+B400</f>
        <v>48375.340000000004</v>
      </c>
      <c r="C403" s="9">
        <f t="shared" si="84"/>
        <v>43555.66</v>
      </c>
      <c r="D403" s="9">
        <f t="shared" si="84"/>
        <v>50539.509999999995</v>
      </c>
      <c r="E403" s="9">
        <f t="shared" si="84"/>
        <v>52401.27</v>
      </c>
      <c r="F403" s="9">
        <f t="shared" si="84"/>
        <v>50168.54</v>
      </c>
      <c r="G403" s="9">
        <f t="shared" si="84"/>
        <v>47042.1</v>
      </c>
      <c r="H403" s="9">
        <f t="shared" si="84"/>
        <v>46414.91</v>
      </c>
      <c r="I403" s="9">
        <f t="shared" si="84"/>
        <v>44210.75</v>
      </c>
      <c r="J403" s="9">
        <f t="shared" si="84"/>
        <v>52526.539999999994</v>
      </c>
      <c r="K403" s="9">
        <f t="shared" si="84"/>
        <v>53281.600000000006</v>
      </c>
      <c r="L403" s="9">
        <f t="shared" si="84"/>
        <v>46406.43</v>
      </c>
      <c r="M403" s="9">
        <f t="shared" si="84"/>
        <v>43871.130000000005</v>
      </c>
      <c r="N403" s="9">
        <f t="shared" si="84"/>
        <v>578793.78</v>
      </c>
    </row>
    <row r="404" spans="1:14" ht="4.95" customHeight="1" x14ac:dyDescent="0.2"/>
    <row r="405" spans="1:14" x14ac:dyDescent="0.2">
      <c r="A405" s="16" t="s">
        <v>114</v>
      </c>
    </row>
    <row r="406" spans="1:14" x14ac:dyDescent="0.2">
      <c r="A406" s="17" t="s">
        <v>271</v>
      </c>
      <c r="B406" s="10">
        <v>779.49</v>
      </c>
      <c r="C406" s="10">
        <v>1106.82</v>
      </c>
      <c r="D406" s="10">
        <v>1548.9</v>
      </c>
      <c r="E406" s="10">
        <v>1620.82</v>
      </c>
      <c r="F406" s="10">
        <v>1093.93</v>
      </c>
      <c r="G406" s="10">
        <v>907.36</v>
      </c>
      <c r="H406" s="10">
        <v>541.25</v>
      </c>
      <c r="I406" s="10">
        <v>700.31</v>
      </c>
      <c r="J406" s="10">
        <v>1475.12</v>
      </c>
      <c r="K406" s="10">
        <v>1991.48</v>
      </c>
      <c r="L406" s="10">
        <v>0</v>
      </c>
      <c r="M406" s="10">
        <v>1364.49</v>
      </c>
      <c r="N406" s="10">
        <f t="shared" ref="N406:N417" si="85">B406+C406+D406+E406+F406+G406+H406+I406+J406+K406+L406+M406</f>
        <v>13129.97</v>
      </c>
    </row>
    <row r="407" spans="1:14" x14ac:dyDescent="0.2">
      <c r="A407" s="17" t="s">
        <v>272</v>
      </c>
      <c r="B407" s="10">
        <v>606.16</v>
      </c>
      <c r="C407" s="10">
        <v>606.16</v>
      </c>
      <c r="D407" s="10">
        <v>606.16</v>
      </c>
      <c r="E407" s="10">
        <v>606.16</v>
      </c>
      <c r="F407" s="10">
        <v>606.16</v>
      </c>
      <c r="G407" s="10">
        <v>606.16</v>
      </c>
      <c r="H407" s="10">
        <v>606.16</v>
      </c>
      <c r="I407" s="10">
        <v>606.16</v>
      </c>
      <c r="J407" s="10">
        <v>606.16</v>
      </c>
      <c r="K407" s="10">
        <v>606.16</v>
      </c>
      <c r="L407" s="10">
        <v>0</v>
      </c>
      <c r="M407" s="10">
        <v>606.16</v>
      </c>
      <c r="N407" s="10">
        <f t="shared" si="85"/>
        <v>6667.7599999999993</v>
      </c>
    </row>
    <row r="408" spans="1:14" x14ac:dyDescent="0.2">
      <c r="A408" s="17" t="s">
        <v>273</v>
      </c>
      <c r="B408" s="10">
        <v>0</v>
      </c>
      <c r="C408" s="10">
        <v>0</v>
      </c>
      <c r="D408" s="10">
        <v>0</v>
      </c>
      <c r="E408" s="10">
        <v>0</v>
      </c>
      <c r="F408" s="10">
        <v>2331.31</v>
      </c>
      <c r="G408" s="10">
        <v>4232.17</v>
      </c>
      <c r="H408" s="10">
        <v>0</v>
      </c>
      <c r="I408" s="10">
        <v>0</v>
      </c>
      <c r="J408" s="10">
        <v>0</v>
      </c>
      <c r="K408" s="10">
        <v>0</v>
      </c>
      <c r="L408" s="10">
        <v>1083.0999999999999</v>
      </c>
      <c r="M408" s="10">
        <v>-1037.0999999999999</v>
      </c>
      <c r="N408" s="10">
        <f t="shared" si="85"/>
        <v>6609.48</v>
      </c>
    </row>
    <row r="409" spans="1:14" x14ac:dyDescent="0.2">
      <c r="A409" s="17" t="s">
        <v>274</v>
      </c>
      <c r="B409" s="10">
        <v>0</v>
      </c>
      <c r="C409" s="10">
        <v>0</v>
      </c>
      <c r="D409" s="10">
        <v>0</v>
      </c>
      <c r="E409" s="10">
        <v>0</v>
      </c>
      <c r="F409" s="10">
        <v>0</v>
      </c>
      <c r="G409" s="10">
        <v>235.8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f t="shared" si="85"/>
        <v>235.8</v>
      </c>
    </row>
    <row r="410" spans="1:14" x14ac:dyDescent="0.2">
      <c r="A410" s="17" t="s">
        <v>275</v>
      </c>
      <c r="B410" s="10">
        <v>0</v>
      </c>
      <c r="C410" s="10">
        <v>0</v>
      </c>
      <c r="D410" s="10">
        <v>0</v>
      </c>
      <c r="E410" s="10">
        <v>0</v>
      </c>
      <c r="F410" s="10">
        <v>917.43</v>
      </c>
      <c r="G410" s="10">
        <v>0</v>
      </c>
      <c r="H410" s="10">
        <v>0</v>
      </c>
      <c r="I410" s="10">
        <v>152.87</v>
      </c>
      <c r="J410" s="10">
        <v>-735.17</v>
      </c>
      <c r="K410" s="10">
        <v>0</v>
      </c>
      <c r="L410" s="10">
        <v>0</v>
      </c>
      <c r="M410" s="10">
        <v>0</v>
      </c>
      <c r="N410" s="10">
        <f t="shared" si="85"/>
        <v>335.13</v>
      </c>
    </row>
    <row r="411" spans="1:14" x14ac:dyDescent="0.2">
      <c r="A411" s="17" t="s">
        <v>276</v>
      </c>
      <c r="B411" s="10">
        <v>491.93</v>
      </c>
      <c r="C411" s="10">
        <v>20.170000000000002</v>
      </c>
      <c r="D411" s="10">
        <v>0</v>
      </c>
      <c r="E411" s="10">
        <v>0</v>
      </c>
      <c r="F411" s="10">
        <v>0</v>
      </c>
      <c r="G411" s="10">
        <v>0</v>
      </c>
      <c r="H411" s="10">
        <v>491.93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f t="shared" si="85"/>
        <v>1004.03</v>
      </c>
    </row>
    <row r="412" spans="1:14" x14ac:dyDescent="0.2">
      <c r="A412" s="17" t="s">
        <v>277</v>
      </c>
      <c r="B412" s="10">
        <v>113.89</v>
      </c>
      <c r="C412" s="10">
        <v>113.89</v>
      </c>
      <c r="D412" s="10">
        <v>113.89</v>
      </c>
      <c r="E412" s="10">
        <v>113.89</v>
      </c>
      <c r="F412" s="10">
        <v>113.89</v>
      </c>
      <c r="G412" s="10">
        <v>1170.93</v>
      </c>
      <c r="H412" s="10">
        <v>113.89</v>
      </c>
      <c r="I412" s="10">
        <v>113.89</v>
      </c>
      <c r="J412" s="10">
        <v>113.89</v>
      </c>
      <c r="K412" s="10">
        <v>113.89</v>
      </c>
      <c r="L412" s="10">
        <v>113.89</v>
      </c>
      <c r="M412" s="10">
        <v>113.89</v>
      </c>
      <c r="N412" s="10">
        <f t="shared" si="85"/>
        <v>2423.7199999999998</v>
      </c>
    </row>
    <row r="413" spans="1:14" x14ac:dyDescent="0.2">
      <c r="A413" s="17" t="s">
        <v>278</v>
      </c>
      <c r="B413" s="10">
        <v>70.09</v>
      </c>
      <c r="C413" s="10">
        <v>130.55000000000001</v>
      </c>
      <c r="D413" s="10">
        <v>528.84</v>
      </c>
      <c r="E413" s="10">
        <v>269.83999999999997</v>
      </c>
      <c r="F413" s="10">
        <v>386.13</v>
      </c>
      <c r="G413" s="10">
        <v>301.86</v>
      </c>
      <c r="H413" s="10">
        <v>131.97999999999999</v>
      </c>
      <c r="I413" s="10">
        <v>387.2</v>
      </c>
      <c r="J413" s="10">
        <v>83.74</v>
      </c>
      <c r="K413" s="10">
        <v>674.36</v>
      </c>
      <c r="L413" s="10">
        <v>63.07</v>
      </c>
      <c r="M413" s="10">
        <v>100.9</v>
      </c>
      <c r="N413" s="10">
        <f t="shared" si="85"/>
        <v>3128.56</v>
      </c>
    </row>
    <row r="414" spans="1:14" x14ac:dyDescent="0.2">
      <c r="A414" s="17" t="s">
        <v>279</v>
      </c>
      <c r="B414" s="10">
        <v>0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427.66</v>
      </c>
      <c r="K414" s="10">
        <v>0</v>
      </c>
      <c r="L414" s="10">
        <v>0</v>
      </c>
      <c r="M414" s="10">
        <v>0</v>
      </c>
      <c r="N414" s="10">
        <f t="shared" si="85"/>
        <v>427.66</v>
      </c>
    </row>
    <row r="415" spans="1:14" x14ac:dyDescent="0.2">
      <c r="A415" s="17" t="s">
        <v>280</v>
      </c>
      <c r="B415" s="10">
        <v>0</v>
      </c>
      <c r="C415" s="10">
        <v>0</v>
      </c>
      <c r="D415" s="10">
        <v>0</v>
      </c>
      <c r="E415" s="10">
        <v>0</v>
      </c>
      <c r="F415" s="10">
        <v>401.08</v>
      </c>
      <c r="G415" s="10">
        <v>0</v>
      </c>
      <c r="H415" s="10">
        <v>0</v>
      </c>
      <c r="I415" s="10">
        <v>0</v>
      </c>
      <c r="J415" s="10">
        <v>0</v>
      </c>
      <c r="K415" s="10">
        <v>1122.1500000000001</v>
      </c>
      <c r="L415" s="10">
        <v>0</v>
      </c>
      <c r="M415" s="10">
        <v>0</v>
      </c>
      <c r="N415" s="10">
        <f t="shared" si="85"/>
        <v>1523.23</v>
      </c>
    </row>
    <row r="416" spans="1:14" x14ac:dyDescent="0.2">
      <c r="A416" s="17" t="s">
        <v>281</v>
      </c>
      <c r="B416" s="10">
        <v>0</v>
      </c>
      <c r="C416" s="10">
        <v>0</v>
      </c>
      <c r="D416" s="10">
        <v>0</v>
      </c>
      <c r="E416" s="10">
        <v>0</v>
      </c>
      <c r="F416" s="10">
        <v>69.83</v>
      </c>
      <c r="G416" s="10">
        <v>0</v>
      </c>
      <c r="H416" s="10">
        <v>0</v>
      </c>
      <c r="I416" s="10">
        <v>73.959999999999994</v>
      </c>
      <c r="J416" s="10">
        <v>0</v>
      </c>
      <c r="K416" s="10">
        <v>31.97</v>
      </c>
      <c r="L416" s="10">
        <v>16.190000000000001</v>
      </c>
      <c r="M416" s="10">
        <v>0</v>
      </c>
      <c r="N416" s="10">
        <f t="shared" si="85"/>
        <v>191.95</v>
      </c>
    </row>
    <row r="417" spans="1:14" x14ac:dyDescent="0.2">
      <c r="A417" s="17" t="s">
        <v>282</v>
      </c>
      <c r="B417" s="10">
        <v>34.57</v>
      </c>
      <c r="C417" s="10">
        <v>0</v>
      </c>
      <c r="D417" s="10">
        <v>0</v>
      </c>
      <c r="E417" s="10">
        <v>0</v>
      </c>
      <c r="F417" s="10">
        <v>0</v>
      </c>
      <c r="G417" s="10">
        <v>341.61</v>
      </c>
      <c r="H417" s="10">
        <v>0</v>
      </c>
      <c r="I417" s="10">
        <v>513.78</v>
      </c>
      <c r="J417" s="10">
        <v>0</v>
      </c>
      <c r="K417" s="10">
        <v>0</v>
      </c>
      <c r="L417" s="10">
        <v>0</v>
      </c>
      <c r="M417" s="10">
        <v>0</v>
      </c>
      <c r="N417" s="10">
        <f t="shared" si="85"/>
        <v>889.96</v>
      </c>
    </row>
    <row r="418" spans="1:14" ht="4.95" customHeight="1" x14ac:dyDescent="0.2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 ht="4.95" customHeight="1" x14ac:dyDescent="0.2"/>
    <row r="420" spans="1:14" x14ac:dyDescent="0.2">
      <c r="A420" s="16" t="s">
        <v>137</v>
      </c>
      <c r="B420" s="9">
        <f t="shared" ref="B420:N420" si="86">SUM(B406:B417)</f>
        <v>2096.1300000000006</v>
      </c>
      <c r="C420" s="9">
        <f t="shared" si="86"/>
        <v>1977.5900000000001</v>
      </c>
      <c r="D420" s="9">
        <f t="shared" si="86"/>
        <v>2797.79</v>
      </c>
      <c r="E420" s="9">
        <f t="shared" si="86"/>
        <v>2610.71</v>
      </c>
      <c r="F420" s="9">
        <f t="shared" si="86"/>
        <v>5919.76</v>
      </c>
      <c r="G420" s="9">
        <f t="shared" si="86"/>
        <v>7795.89</v>
      </c>
      <c r="H420" s="9">
        <f t="shared" si="86"/>
        <v>1885.21</v>
      </c>
      <c r="I420" s="9">
        <f t="shared" si="86"/>
        <v>2548.17</v>
      </c>
      <c r="J420" s="9">
        <f t="shared" si="86"/>
        <v>1971.3999999999999</v>
      </c>
      <c r="K420" s="9">
        <f t="shared" si="86"/>
        <v>4540.01</v>
      </c>
      <c r="L420" s="9">
        <f t="shared" si="86"/>
        <v>1276.25</v>
      </c>
      <c r="M420" s="9">
        <f t="shared" si="86"/>
        <v>1148.3400000000004</v>
      </c>
      <c r="N420" s="9">
        <f t="shared" si="86"/>
        <v>36567.25</v>
      </c>
    </row>
    <row r="421" spans="1:14" ht="4.95" customHeight="1" x14ac:dyDescent="0.2"/>
    <row r="422" spans="1:14" ht="4.95" customHeight="1" x14ac:dyDescent="0.2"/>
    <row r="423" spans="1:14" x14ac:dyDescent="0.2">
      <c r="A423" s="16" t="s">
        <v>283</v>
      </c>
      <c r="B423" s="9">
        <f t="shared" ref="B423:N423" si="87">B373+B403+B420</f>
        <v>57190.1</v>
      </c>
      <c r="C423" s="9">
        <f t="shared" si="87"/>
        <v>55135.820000000007</v>
      </c>
      <c r="D423" s="9">
        <f t="shared" si="87"/>
        <v>62656.7</v>
      </c>
      <c r="E423" s="9">
        <f t="shared" si="87"/>
        <v>64774.549999999996</v>
      </c>
      <c r="F423" s="9">
        <f t="shared" si="87"/>
        <v>65276.15</v>
      </c>
      <c r="G423" s="9">
        <f t="shared" si="87"/>
        <v>62906.29</v>
      </c>
      <c r="H423" s="9">
        <f t="shared" si="87"/>
        <v>57524.33</v>
      </c>
      <c r="I423" s="9">
        <f t="shared" si="87"/>
        <v>53766.509999999995</v>
      </c>
      <c r="J423" s="9">
        <f t="shared" si="87"/>
        <v>62447.549999999996</v>
      </c>
      <c r="K423" s="9">
        <f t="shared" si="87"/>
        <v>64706.69000000001</v>
      </c>
      <c r="L423" s="9">
        <f t="shared" si="87"/>
        <v>59260.49</v>
      </c>
      <c r="M423" s="9">
        <f t="shared" si="87"/>
        <v>50073.05000000001</v>
      </c>
      <c r="N423" s="9">
        <f t="shared" si="87"/>
        <v>715718.23</v>
      </c>
    </row>
    <row r="424" spans="1:14" ht="4.95" customHeight="1" x14ac:dyDescent="0.2"/>
    <row r="425" spans="1:14" x14ac:dyDescent="0.2">
      <c r="A425" s="7" t="s">
        <v>284</v>
      </c>
      <c r="B425" s="9">
        <f t="shared" ref="B425:N425" si="88">B365-B423</f>
        <v>-25999.87</v>
      </c>
      <c r="C425" s="9">
        <f t="shared" si="88"/>
        <v>-12475.140000000007</v>
      </c>
      <c r="D425" s="9">
        <f t="shared" si="88"/>
        <v>-20655.71</v>
      </c>
      <c r="E425" s="9">
        <f t="shared" si="88"/>
        <v>-25682.089999999997</v>
      </c>
      <c r="F425" s="9">
        <f t="shared" si="88"/>
        <v>-28257.61</v>
      </c>
      <c r="G425" s="9">
        <f t="shared" si="88"/>
        <v>-28060.82</v>
      </c>
      <c r="H425" s="9">
        <f t="shared" si="88"/>
        <v>-29336.720000000005</v>
      </c>
      <c r="I425" s="9">
        <f t="shared" si="88"/>
        <v>-23049.059999999994</v>
      </c>
      <c r="J425" s="9">
        <f t="shared" si="88"/>
        <v>-29672.899999999994</v>
      </c>
      <c r="K425" s="9">
        <f t="shared" si="88"/>
        <v>-32525.490000000013</v>
      </c>
      <c r="L425" s="9">
        <f t="shared" si="88"/>
        <v>-25765.839999999997</v>
      </c>
      <c r="M425" s="9">
        <f t="shared" si="88"/>
        <v>-28895.040000000012</v>
      </c>
      <c r="N425" s="9">
        <f t="shared" si="88"/>
        <v>-310376.29000000004</v>
      </c>
    </row>
    <row r="426" spans="1:14" ht="4.95" customHeight="1" x14ac:dyDescent="0.2"/>
    <row r="427" spans="1:14" x14ac:dyDescent="0.2">
      <c r="A427" s="16" t="s">
        <v>166</v>
      </c>
    </row>
    <row r="428" spans="1:14" x14ac:dyDescent="0.2">
      <c r="A428" s="16" t="s">
        <v>285</v>
      </c>
    </row>
    <row r="429" spans="1:14" x14ac:dyDescent="0.2">
      <c r="A429" s="17" t="s">
        <v>286</v>
      </c>
      <c r="B429" s="18">
        <v>254</v>
      </c>
      <c r="C429" s="18">
        <v>505</v>
      </c>
      <c r="D429" s="18">
        <v>623</v>
      </c>
      <c r="E429" s="18">
        <v>627</v>
      </c>
      <c r="F429" s="18">
        <v>239</v>
      </c>
      <c r="G429" s="18">
        <v>538</v>
      </c>
      <c r="H429" s="18">
        <v>1943</v>
      </c>
      <c r="I429" s="18">
        <v>133</v>
      </c>
      <c r="J429" s="18">
        <v>1223</v>
      </c>
      <c r="K429" s="18">
        <v>1998</v>
      </c>
      <c r="L429" s="18">
        <v>611</v>
      </c>
      <c r="M429" s="18">
        <v>3457</v>
      </c>
      <c r="N429" s="18">
        <f t="shared" ref="N429:N436" si="89">B429+C429+D429+E429+F429+G429+H429+I429+J429+K429+L429+M429</f>
        <v>12151</v>
      </c>
    </row>
    <row r="430" spans="1:14" x14ac:dyDescent="0.2">
      <c r="A430" s="17" t="s">
        <v>287</v>
      </c>
      <c r="B430" s="10">
        <v>20.28</v>
      </c>
      <c r="C430" s="10">
        <v>19.190000000000001</v>
      </c>
      <c r="D430" s="10">
        <v>35.19</v>
      </c>
      <c r="E430" s="10">
        <v>33.24</v>
      </c>
      <c r="F430" s="10">
        <v>21.83</v>
      </c>
      <c r="G430" s="10">
        <v>28.13</v>
      </c>
      <c r="H430" s="10">
        <v>17.89</v>
      </c>
      <c r="I430" s="10">
        <v>28</v>
      </c>
      <c r="J430" s="10">
        <v>23.54</v>
      </c>
      <c r="K430" s="10">
        <v>12.94</v>
      </c>
      <c r="L430" s="10">
        <v>37.520000000000003</v>
      </c>
      <c r="M430" s="10">
        <v>14.67</v>
      </c>
      <c r="N430" s="10">
        <f t="shared" si="89"/>
        <v>292.42</v>
      </c>
    </row>
    <row r="431" spans="1:14" x14ac:dyDescent="0.2">
      <c r="A431" s="17" t="s">
        <v>288</v>
      </c>
      <c r="B431" s="18">
        <v>360</v>
      </c>
      <c r="C431" s="18">
        <v>1231</v>
      </c>
      <c r="D431" s="18">
        <v>1530</v>
      </c>
      <c r="E431" s="18">
        <v>1385</v>
      </c>
      <c r="F431" s="18">
        <v>1009</v>
      </c>
      <c r="G431" s="18">
        <v>1478</v>
      </c>
      <c r="H431" s="18">
        <v>75</v>
      </c>
      <c r="I431" s="18">
        <v>350</v>
      </c>
      <c r="J431" s="18">
        <v>1294</v>
      </c>
      <c r="K431" s="18">
        <v>3297</v>
      </c>
      <c r="L431" s="18">
        <v>966</v>
      </c>
      <c r="M431" s="18">
        <v>356</v>
      </c>
      <c r="N431" s="18">
        <f t="shared" si="89"/>
        <v>13331</v>
      </c>
    </row>
    <row r="432" spans="1:14" x14ac:dyDescent="0.2">
      <c r="A432" s="17" t="s">
        <v>289</v>
      </c>
      <c r="B432" s="10">
        <v>22.94</v>
      </c>
      <c r="C432" s="10">
        <v>25.18</v>
      </c>
      <c r="D432" s="10">
        <v>24.4</v>
      </c>
      <c r="E432" s="10">
        <v>32.369999999999997</v>
      </c>
      <c r="F432" s="10">
        <v>23.26</v>
      </c>
      <c r="G432" s="10">
        <v>7.43</v>
      </c>
      <c r="H432" s="10">
        <v>34.44</v>
      </c>
      <c r="I432" s="10">
        <v>15.89</v>
      </c>
      <c r="J432" s="10">
        <v>25.64</v>
      </c>
      <c r="K432" s="10">
        <v>22.99</v>
      </c>
      <c r="L432" s="10">
        <v>21.74</v>
      </c>
      <c r="M432" s="10">
        <v>15.94</v>
      </c>
      <c r="N432" s="10">
        <f t="shared" si="89"/>
        <v>272.22000000000003</v>
      </c>
    </row>
    <row r="433" spans="1:14" x14ac:dyDescent="0.2">
      <c r="A433" s="17" t="s">
        <v>290</v>
      </c>
      <c r="B433" s="18">
        <v>154</v>
      </c>
      <c r="C433" s="18">
        <v>150</v>
      </c>
      <c r="D433" s="18">
        <v>557</v>
      </c>
      <c r="E433" s="18">
        <v>851</v>
      </c>
      <c r="F433" s="18">
        <v>417</v>
      </c>
      <c r="G433" s="18">
        <v>318</v>
      </c>
      <c r="H433" s="18">
        <v>925</v>
      </c>
      <c r="I433" s="18">
        <v>57</v>
      </c>
      <c r="J433" s="18">
        <v>747</v>
      </c>
      <c r="K433" s="18">
        <v>924</v>
      </c>
      <c r="L433" s="18">
        <v>1197</v>
      </c>
      <c r="M433" s="18">
        <v>2044</v>
      </c>
      <c r="N433" s="18">
        <f t="shared" si="89"/>
        <v>8341</v>
      </c>
    </row>
    <row r="434" spans="1:14" x14ac:dyDescent="0.2">
      <c r="A434" s="17" t="s">
        <v>291</v>
      </c>
      <c r="B434" s="10">
        <v>48.19</v>
      </c>
      <c r="C434" s="10">
        <v>62</v>
      </c>
      <c r="D434" s="10">
        <v>63.5</v>
      </c>
      <c r="E434" s="10">
        <v>52.39</v>
      </c>
      <c r="F434" s="10">
        <v>54.15</v>
      </c>
      <c r="G434" s="10">
        <v>50.58</v>
      </c>
      <c r="H434" s="10">
        <v>23.34</v>
      </c>
      <c r="I434" s="10">
        <v>54.04</v>
      </c>
      <c r="J434" s="10">
        <v>47.96</v>
      </c>
      <c r="K434" s="10">
        <v>48.08</v>
      </c>
      <c r="L434" s="10">
        <v>51.37</v>
      </c>
      <c r="M434" s="10">
        <v>26.76</v>
      </c>
      <c r="N434" s="10">
        <f t="shared" si="89"/>
        <v>582.3599999999999</v>
      </c>
    </row>
    <row r="435" spans="1:14" x14ac:dyDescent="0.2">
      <c r="A435" s="17" t="s">
        <v>292</v>
      </c>
      <c r="B435" s="18">
        <v>659</v>
      </c>
      <c r="C435" s="18">
        <v>249</v>
      </c>
      <c r="D435" s="18">
        <v>1103</v>
      </c>
      <c r="E435" s="18">
        <v>724</v>
      </c>
      <c r="F435" s="18">
        <v>492</v>
      </c>
      <c r="G435" s="18">
        <v>156</v>
      </c>
      <c r="H435" s="18">
        <v>35</v>
      </c>
      <c r="I435" s="18">
        <v>260</v>
      </c>
      <c r="J435" s="18">
        <v>705</v>
      </c>
      <c r="K435" s="18">
        <v>1816</v>
      </c>
      <c r="L435" s="18">
        <v>576</v>
      </c>
      <c r="M435" s="18">
        <v>1211</v>
      </c>
      <c r="N435" s="18">
        <f t="shared" si="89"/>
        <v>7986</v>
      </c>
    </row>
    <row r="436" spans="1:14" x14ac:dyDescent="0.2">
      <c r="A436" s="17" t="s">
        <v>293</v>
      </c>
      <c r="B436" s="10">
        <v>39.35</v>
      </c>
      <c r="C436" s="10">
        <v>71.180000000000007</v>
      </c>
      <c r="D436" s="10">
        <v>33.630000000000003</v>
      </c>
      <c r="E436" s="10">
        <v>43.17</v>
      </c>
      <c r="F436" s="10">
        <v>52.93</v>
      </c>
      <c r="G436" s="10">
        <v>41.09</v>
      </c>
      <c r="H436" s="10">
        <v>20</v>
      </c>
      <c r="I436" s="10">
        <v>46.1</v>
      </c>
      <c r="J436" s="10">
        <v>39.6</v>
      </c>
      <c r="K436" s="10">
        <v>42.93</v>
      </c>
      <c r="L436" s="10">
        <v>42.72</v>
      </c>
      <c r="M436" s="10">
        <v>27.03</v>
      </c>
      <c r="N436" s="10">
        <f t="shared" si="89"/>
        <v>499.73</v>
      </c>
    </row>
    <row r="437" spans="1:14" ht="4.95" customHeight="1" x14ac:dyDescent="0.2"/>
    <row r="438" spans="1:14" ht="4.95" customHeight="1" x14ac:dyDescent="0.2"/>
    <row r="439" spans="1:14" ht="4.95" customHeight="1" x14ac:dyDescent="0.2"/>
    <row r="440" spans="1:14" x14ac:dyDescent="0.2">
      <c r="A440" s="16" t="s">
        <v>233</v>
      </c>
    </row>
    <row r="441" spans="1:14" x14ac:dyDescent="0.2">
      <c r="A441" s="16" t="s">
        <v>234</v>
      </c>
    </row>
    <row r="442" spans="1:14" x14ac:dyDescent="0.2">
      <c r="A442" s="17" t="s">
        <v>294</v>
      </c>
      <c r="B442" s="18">
        <v>2458</v>
      </c>
      <c r="C442" s="18">
        <v>2798</v>
      </c>
      <c r="D442" s="18">
        <v>2852</v>
      </c>
      <c r="E442" s="18">
        <v>2330</v>
      </c>
      <c r="F442" s="18">
        <v>1502</v>
      </c>
      <c r="G442" s="18">
        <v>1421</v>
      </c>
      <c r="H442" s="18">
        <v>1260</v>
      </c>
      <c r="I442" s="18">
        <v>1309</v>
      </c>
      <c r="J442" s="18">
        <v>1379</v>
      </c>
      <c r="K442" s="18">
        <v>1353</v>
      </c>
      <c r="L442" s="18">
        <v>1318</v>
      </c>
      <c r="M442" s="18">
        <v>957</v>
      </c>
      <c r="N442" s="18">
        <f>B442+C442+D442+E442+F442+G442+H442+I442+J442+K442+L442+M442</f>
        <v>20937</v>
      </c>
    </row>
    <row r="443" spans="1:14" x14ac:dyDescent="0.2">
      <c r="A443" s="17" t="s">
        <v>295</v>
      </c>
      <c r="B443" s="10">
        <v>10.42</v>
      </c>
      <c r="C443" s="10">
        <v>15.22</v>
      </c>
      <c r="D443" s="10">
        <v>14.58</v>
      </c>
      <c r="E443" s="10">
        <v>14.35</v>
      </c>
      <c r="F443" s="10">
        <v>20.48</v>
      </c>
      <c r="G443" s="10">
        <v>20.399999999999999</v>
      </c>
      <c r="H443" s="10">
        <v>19.5</v>
      </c>
      <c r="I443" s="10">
        <v>18.96</v>
      </c>
      <c r="J443" s="10">
        <v>20.65</v>
      </c>
      <c r="K443" s="10">
        <v>20.12</v>
      </c>
      <c r="L443" s="10">
        <v>21.49</v>
      </c>
      <c r="M443" s="10">
        <v>18.87</v>
      </c>
      <c r="N443" s="10">
        <f>B443+C443+D443+E443+F443+G443+H443+I443+J443+K443+L443+M443</f>
        <v>215.04000000000002</v>
      </c>
    </row>
    <row r="444" spans="1:14" x14ac:dyDescent="0.2">
      <c r="A444" s="17" t="s">
        <v>296</v>
      </c>
      <c r="B444" s="18">
        <v>132</v>
      </c>
      <c r="C444" s="18">
        <v>6</v>
      </c>
      <c r="D444" s="18">
        <v>13</v>
      </c>
      <c r="E444" s="18">
        <v>192</v>
      </c>
      <c r="F444" s="18">
        <v>193</v>
      </c>
      <c r="G444" s="18">
        <v>185</v>
      </c>
      <c r="H444" s="18">
        <v>107</v>
      </c>
      <c r="I444" s="18">
        <v>139</v>
      </c>
      <c r="J444" s="18">
        <v>122</v>
      </c>
      <c r="K444" s="18">
        <v>169</v>
      </c>
      <c r="L444" s="18">
        <v>109</v>
      </c>
      <c r="M444" s="18">
        <v>69</v>
      </c>
      <c r="N444" s="18">
        <f>B444+C444+D444+E444+F444+G444+H444+I444+J444+K444+L444+M444</f>
        <v>1436</v>
      </c>
    </row>
    <row r="445" spans="1:14" x14ac:dyDescent="0.2">
      <c r="A445" s="17" t="s">
        <v>297</v>
      </c>
      <c r="B445" s="10">
        <v>41.06</v>
      </c>
      <c r="C445" s="10">
        <v>13.92</v>
      </c>
      <c r="D445" s="10">
        <v>31.15</v>
      </c>
      <c r="E445" s="10">
        <v>29.45</v>
      </c>
      <c r="F445" s="10">
        <v>32.43</v>
      </c>
      <c r="G445" s="10">
        <v>31.67</v>
      </c>
      <c r="H445" s="10">
        <v>33.799999999999997</v>
      </c>
      <c r="I445" s="10">
        <v>42.43</v>
      </c>
      <c r="J445" s="10">
        <v>35.200000000000003</v>
      </c>
      <c r="K445" s="10">
        <v>29.34</v>
      </c>
      <c r="L445" s="10">
        <v>44.24</v>
      </c>
      <c r="M445" s="10">
        <v>42.2</v>
      </c>
      <c r="N445" s="10">
        <f>B445+C445+D445+E445+F445+G445+H445+I445+J445+K445+L445+M445</f>
        <v>406.89</v>
      </c>
    </row>
    <row r="446" spans="1:14" ht="4.95" customHeight="1" x14ac:dyDescent="0.2"/>
    <row r="447" spans="1:14" ht="4.95" customHeight="1" x14ac:dyDescent="0.2"/>
    <row r="448" spans="1:14" ht="4.95" customHeight="1" x14ac:dyDescent="0.2"/>
    <row r="449" spans="1:14" x14ac:dyDescent="0.2">
      <c r="A449" s="16" t="s">
        <v>298</v>
      </c>
    </row>
    <row r="451" spans="1:14" x14ac:dyDescent="0.2">
      <c r="A451" s="16" t="s">
        <v>299</v>
      </c>
    </row>
    <row r="452" spans="1:14" x14ac:dyDescent="0.2">
      <c r="A452" s="16" t="s">
        <v>76</v>
      </c>
    </row>
    <row r="453" spans="1:14" x14ac:dyDescent="0.2">
      <c r="A453" s="17" t="s">
        <v>300</v>
      </c>
      <c r="B453" s="10">
        <v>27799.3</v>
      </c>
      <c r="C453" s="10">
        <v>37316.370000000003</v>
      </c>
      <c r="D453" s="10">
        <v>54333.39</v>
      </c>
      <c r="E453" s="10">
        <v>49965.81</v>
      </c>
      <c r="F453" s="10">
        <v>42421.66</v>
      </c>
      <c r="G453" s="10">
        <v>44670.01</v>
      </c>
      <c r="H453" s="10">
        <v>42026.15</v>
      </c>
      <c r="I453" s="10">
        <v>43100.95</v>
      </c>
      <c r="J453" s="10">
        <v>46930.05</v>
      </c>
      <c r="K453" s="10">
        <v>47728.36</v>
      </c>
      <c r="L453" s="10">
        <v>42455.4</v>
      </c>
      <c r="M453" s="10">
        <v>35749.839999999997</v>
      </c>
      <c r="N453" s="10">
        <f>B453+C453+D453+E453+F453+G453+H453+I453+J453+K453+L453+M453</f>
        <v>514497.29000000004</v>
      </c>
    </row>
    <row r="454" spans="1:14" x14ac:dyDescent="0.2">
      <c r="A454" s="17" t="s">
        <v>301</v>
      </c>
      <c r="B454" s="10">
        <v>-1623.38</v>
      </c>
      <c r="C454" s="10">
        <v>-1415.24</v>
      </c>
      <c r="D454" s="10">
        <v>-1967.52</v>
      </c>
      <c r="E454" s="10">
        <v>-1824.7</v>
      </c>
      <c r="F454" s="10">
        <v>-1569.56</v>
      </c>
      <c r="G454" s="10">
        <v>-1702.95</v>
      </c>
      <c r="H454" s="10">
        <v>-1846.07</v>
      </c>
      <c r="I454" s="10">
        <v>-1436.72</v>
      </c>
      <c r="J454" s="10">
        <v>-2018.87</v>
      </c>
      <c r="K454" s="10">
        <v>-1237.8399999999999</v>
      </c>
      <c r="L454" s="10">
        <v>-1358.2</v>
      </c>
      <c r="M454" s="10">
        <v>-1466.28</v>
      </c>
      <c r="N454" s="10">
        <f>B454+C454+D454+E454+F454+G454+H454+I454+J454+K454+L454+M454</f>
        <v>-19467.329999999998</v>
      </c>
    </row>
    <row r="455" spans="1:14" ht="4.95" customHeight="1" x14ac:dyDescent="0.2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 ht="4.95" customHeight="1" x14ac:dyDescent="0.2"/>
    <row r="457" spans="1:14" x14ac:dyDescent="0.2">
      <c r="A457" s="16" t="s">
        <v>81</v>
      </c>
      <c r="B457" s="9">
        <f t="shared" ref="B457:N457" si="90">SUM(B453:B454)</f>
        <v>26175.919999999998</v>
      </c>
      <c r="C457" s="9">
        <f t="shared" si="90"/>
        <v>35901.130000000005</v>
      </c>
      <c r="D457" s="9">
        <f t="shared" si="90"/>
        <v>52365.87</v>
      </c>
      <c r="E457" s="9">
        <f t="shared" si="90"/>
        <v>48141.11</v>
      </c>
      <c r="F457" s="9">
        <f t="shared" si="90"/>
        <v>40852.100000000006</v>
      </c>
      <c r="G457" s="9">
        <f t="shared" si="90"/>
        <v>42967.060000000005</v>
      </c>
      <c r="H457" s="9">
        <f t="shared" si="90"/>
        <v>40180.080000000002</v>
      </c>
      <c r="I457" s="9">
        <f t="shared" si="90"/>
        <v>41664.229999999996</v>
      </c>
      <c r="J457" s="9">
        <f t="shared" si="90"/>
        <v>44911.18</v>
      </c>
      <c r="K457" s="9">
        <f t="shared" si="90"/>
        <v>46490.520000000004</v>
      </c>
      <c r="L457" s="9">
        <f t="shared" si="90"/>
        <v>41097.200000000004</v>
      </c>
      <c r="M457" s="9">
        <f t="shared" si="90"/>
        <v>34283.56</v>
      </c>
      <c r="N457" s="9">
        <f t="shared" si="90"/>
        <v>495029.96</v>
      </c>
    </row>
    <row r="458" spans="1:14" ht="4.95" customHeight="1" x14ac:dyDescent="0.2"/>
    <row r="459" spans="1:14" ht="4.95" customHeight="1" x14ac:dyDescent="0.2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 ht="4.95" customHeight="1" x14ac:dyDescent="0.2"/>
    <row r="461" spans="1:14" x14ac:dyDescent="0.2">
      <c r="A461" s="16" t="s">
        <v>302</v>
      </c>
      <c r="B461" s="9">
        <f t="shared" ref="B461:N461" si="91">B457</f>
        <v>26175.919999999998</v>
      </c>
      <c r="C461" s="9">
        <f t="shared" si="91"/>
        <v>35901.130000000005</v>
      </c>
      <c r="D461" s="9">
        <f t="shared" si="91"/>
        <v>52365.87</v>
      </c>
      <c r="E461" s="9">
        <f t="shared" si="91"/>
        <v>48141.11</v>
      </c>
      <c r="F461" s="9">
        <f t="shared" si="91"/>
        <v>40852.100000000006</v>
      </c>
      <c r="G461" s="9">
        <f t="shared" si="91"/>
        <v>42967.060000000005</v>
      </c>
      <c r="H461" s="9">
        <f t="shared" si="91"/>
        <v>40180.080000000002</v>
      </c>
      <c r="I461" s="9">
        <f t="shared" si="91"/>
        <v>41664.229999999996</v>
      </c>
      <c r="J461" s="9">
        <f t="shared" si="91"/>
        <v>44911.18</v>
      </c>
      <c r="K461" s="9">
        <f t="shared" si="91"/>
        <v>46490.520000000004</v>
      </c>
      <c r="L461" s="9">
        <f t="shared" si="91"/>
        <v>41097.200000000004</v>
      </c>
      <c r="M461" s="9">
        <f t="shared" si="91"/>
        <v>34283.56</v>
      </c>
      <c r="N461" s="9">
        <f t="shared" si="91"/>
        <v>495029.96</v>
      </c>
    </row>
    <row r="463" spans="1:14" x14ac:dyDescent="0.2">
      <c r="A463" s="16" t="s">
        <v>303</v>
      </c>
    </row>
    <row r="464" spans="1:14" x14ac:dyDescent="0.2">
      <c r="A464" s="17" t="s">
        <v>304</v>
      </c>
      <c r="B464" s="10">
        <v>10495.45</v>
      </c>
      <c r="C464" s="10">
        <v>6968.98</v>
      </c>
      <c r="D464" s="10">
        <v>16685.71</v>
      </c>
      <c r="E464" s="10">
        <v>15906.1</v>
      </c>
      <c r="F464" s="10">
        <v>11252.81</v>
      </c>
      <c r="G464" s="10">
        <v>19977.490000000002</v>
      </c>
      <c r="H464" s="10">
        <v>13357.69</v>
      </c>
      <c r="I464" s="10">
        <v>10892.76</v>
      </c>
      <c r="J464" s="10">
        <v>11253.62</v>
      </c>
      <c r="K464" s="10">
        <v>16497.18</v>
      </c>
      <c r="L464" s="10">
        <v>8838.27</v>
      </c>
      <c r="M464" s="10">
        <v>11271.74</v>
      </c>
      <c r="N464" s="10">
        <f>B464+C464+D464+E464+F464+G464+H464+I464+J464+K464+L464+M464</f>
        <v>153397.79999999996</v>
      </c>
    </row>
    <row r="465" spans="1:14" ht="4.95" customHeight="1" x14ac:dyDescent="0.2"/>
    <row r="466" spans="1:14" ht="4.95" customHeight="1" x14ac:dyDescent="0.2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 ht="4.95" customHeight="1" x14ac:dyDescent="0.2"/>
    <row r="468" spans="1:14" x14ac:dyDescent="0.2">
      <c r="A468" s="16" t="s">
        <v>305</v>
      </c>
      <c r="B468" s="9">
        <f t="shared" ref="B468:N468" si="92">B464</f>
        <v>10495.45</v>
      </c>
      <c r="C468" s="9">
        <f t="shared" si="92"/>
        <v>6968.98</v>
      </c>
      <c r="D468" s="9">
        <f t="shared" si="92"/>
        <v>16685.71</v>
      </c>
      <c r="E468" s="9">
        <f t="shared" si="92"/>
        <v>15906.1</v>
      </c>
      <c r="F468" s="9">
        <f t="shared" si="92"/>
        <v>11252.81</v>
      </c>
      <c r="G468" s="9">
        <f t="shared" si="92"/>
        <v>19977.490000000002</v>
      </c>
      <c r="H468" s="9">
        <f t="shared" si="92"/>
        <v>13357.69</v>
      </c>
      <c r="I468" s="9">
        <f t="shared" si="92"/>
        <v>10892.76</v>
      </c>
      <c r="J468" s="9">
        <f t="shared" si="92"/>
        <v>11253.62</v>
      </c>
      <c r="K468" s="9">
        <f t="shared" si="92"/>
        <v>16497.18</v>
      </c>
      <c r="L468" s="9">
        <f t="shared" si="92"/>
        <v>8838.27</v>
      </c>
      <c r="M468" s="9">
        <f t="shared" si="92"/>
        <v>11271.74</v>
      </c>
      <c r="N468" s="9">
        <f t="shared" si="92"/>
        <v>153397.79999999996</v>
      </c>
    </row>
    <row r="469" spans="1:14" ht="4.95" customHeight="1" x14ac:dyDescent="0.2"/>
    <row r="470" spans="1:14" x14ac:dyDescent="0.2">
      <c r="A470" s="16" t="s">
        <v>192</v>
      </c>
      <c r="B470" s="9">
        <f t="shared" ref="B470:N470" si="93">(B461)-(B468)</f>
        <v>15680.469999999998</v>
      </c>
      <c r="C470" s="9">
        <f t="shared" si="93"/>
        <v>28932.150000000005</v>
      </c>
      <c r="D470" s="9">
        <f t="shared" si="93"/>
        <v>35680.160000000003</v>
      </c>
      <c r="E470" s="9">
        <f t="shared" si="93"/>
        <v>32235.010000000002</v>
      </c>
      <c r="F470" s="9">
        <f t="shared" si="93"/>
        <v>29599.290000000008</v>
      </c>
      <c r="G470" s="9">
        <f t="shared" si="93"/>
        <v>22989.570000000003</v>
      </c>
      <c r="H470" s="9">
        <f t="shared" si="93"/>
        <v>26822.39</v>
      </c>
      <c r="I470" s="9">
        <f t="shared" si="93"/>
        <v>30771.469999999994</v>
      </c>
      <c r="J470" s="9">
        <f t="shared" si="93"/>
        <v>33657.56</v>
      </c>
      <c r="K470" s="9">
        <f t="shared" si="93"/>
        <v>29993.340000000004</v>
      </c>
      <c r="L470" s="9">
        <f t="shared" si="93"/>
        <v>32258.930000000004</v>
      </c>
      <c r="M470" s="9">
        <f t="shared" si="93"/>
        <v>23011.82</v>
      </c>
      <c r="N470" s="9">
        <f t="shared" si="93"/>
        <v>341632.16000000003</v>
      </c>
    </row>
    <row r="472" spans="1:14" x14ac:dyDescent="0.2">
      <c r="A472" s="16" t="s">
        <v>306</v>
      </c>
    </row>
    <row r="474" spans="1:14" x14ac:dyDescent="0.2">
      <c r="A474" s="16" t="s">
        <v>307</v>
      </c>
    </row>
    <row r="475" spans="1:14" x14ac:dyDescent="0.2">
      <c r="A475" s="16" t="s">
        <v>308</v>
      </c>
    </row>
    <row r="476" spans="1:14" x14ac:dyDescent="0.2">
      <c r="A476" s="17" t="s">
        <v>309</v>
      </c>
      <c r="B476" s="10">
        <v>1230.72</v>
      </c>
      <c r="C476" s="10">
        <v>2941.68</v>
      </c>
      <c r="D476" s="10">
        <v>3979.92</v>
      </c>
      <c r="E476" s="10">
        <v>3460.8</v>
      </c>
      <c r="F476" s="10">
        <v>4423.3599999999997</v>
      </c>
      <c r="G476" s="10">
        <v>4038.72</v>
      </c>
      <c r="H476" s="10">
        <v>3846.4</v>
      </c>
      <c r="I476" s="10">
        <v>6129.01</v>
      </c>
      <c r="J476" s="10">
        <v>2140.75</v>
      </c>
      <c r="K476" s="10">
        <v>4231.04</v>
      </c>
      <c r="L476" s="10">
        <v>4038.72</v>
      </c>
      <c r="M476" s="10">
        <v>4038.72</v>
      </c>
      <c r="N476" s="10">
        <f>B476+C476+D476+E476+F476+G476+H476+I476+J476+K476+L476+M476</f>
        <v>44499.840000000004</v>
      </c>
    </row>
    <row r="477" spans="1:14" x14ac:dyDescent="0.2">
      <c r="A477" s="16" t="s">
        <v>310</v>
      </c>
      <c r="B477" s="9">
        <f t="shared" ref="B477:N477" si="94">B476</f>
        <v>1230.72</v>
      </c>
      <c r="C477" s="9">
        <f t="shared" si="94"/>
        <v>2941.68</v>
      </c>
      <c r="D477" s="9">
        <f t="shared" si="94"/>
        <v>3979.92</v>
      </c>
      <c r="E477" s="9">
        <f t="shared" si="94"/>
        <v>3460.8</v>
      </c>
      <c r="F477" s="9">
        <f t="shared" si="94"/>
        <v>4423.3599999999997</v>
      </c>
      <c r="G477" s="9">
        <f t="shared" si="94"/>
        <v>4038.72</v>
      </c>
      <c r="H477" s="9">
        <f t="shared" si="94"/>
        <v>3846.4</v>
      </c>
      <c r="I477" s="9">
        <f t="shared" si="94"/>
        <v>6129.01</v>
      </c>
      <c r="J477" s="9">
        <f t="shared" si="94"/>
        <v>2140.75</v>
      </c>
      <c r="K477" s="9">
        <f t="shared" si="94"/>
        <v>4231.04</v>
      </c>
      <c r="L477" s="9">
        <f t="shared" si="94"/>
        <v>4038.72</v>
      </c>
      <c r="M477" s="9">
        <f t="shared" si="94"/>
        <v>4038.72</v>
      </c>
      <c r="N477" s="9">
        <f t="shared" si="94"/>
        <v>44499.840000000004</v>
      </c>
    </row>
    <row r="479" spans="1:14" x14ac:dyDescent="0.2">
      <c r="A479" s="16" t="s">
        <v>311</v>
      </c>
    </row>
    <row r="480" spans="1:14" x14ac:dyDescent="0.2">
      <c r="A480" s="17" t="s">
        <v>312</v>
      </c>
      <c r="B480" s="10">
        <v>3852.17</v>
      </c>
      <c r="C480" s="10">
        <v>9539.19</v>
      </c>
      <c r="D480" s="10">
        <v>11266.4</v>
      </c>
      <c r="E480" s="10">
        <v>10272.459999999999</v>
      </c>
      <c r="F480" s="10">
        <v>9582.16</v>
      </c>
      <c r="G480" s="10">
        <v>8985.19</v>
      </c>
      <c r="H480" s="10">
        <v>8797.68</v>
      </c>
      <c r="I480" s="10">
        <v>6647.54</v>
      </c>
      <c r="J480" s="10">
        <v>10970.63</v>
      </c>
      <c r="K480" s="10">
        <v>8734.18</v>
      </c>
      <c r="L480" s="10">
        <v>7313.47</v>
      </c>
      <c r="M480" s="10">
        <v>7178.91</v>
      </c>
      <c r="N480" s="10">
        <f>B480+C480+D480+E480+F480+G480+H480+I480+J480+K480+L480+M480</f>
        <v>103139.98000000001</v>
      </c>
    </row>
    <row r="481" spans="1:14" x14ac:dyDescent="0.2">
      <c r="A481" s="16" t="s">
        <v>313</v>
      </c>
      <c r="B481" s="9">
        <f t="shared" ref="B481:N481" si="95">B480</f>
        <v>3852.17</v>
      </c>
      <c r="C481" s="9">
        <f t="shared" si="95"/>
        <v>9539.19</v>
      </c>
      <c r="D481" s="9">
        <f t="shared" si="95"/>
        <v>11266.4</v>
      </c>
      <c r="E481" s="9">
        <f t="shared" si="95"/>
        <v>10272.459999999999</v>
      </c>
      <c r="F481" s="9">
        <f t="shared" si="95"/>
        <v>9582.16</v>
      </c>
      <c r="G481" s="9">
        <f t="shared" si="95"/>
        <v>8985.19</v>
      </c>
      <c r="H481" s="9">
        <f t="shared" si="95"/>
        <v>8797.68</v>
      </c>
      <c r="I481" s="9">
        <f t="shared" si="95"/>
        <v>6647.54</v>
      </c>
      <c r="J481" s="9">
        <f t="shared" si="95"/>
        <v>10970.63</v>
      </c>
      <c r="K481" s="9">
        <f t="shared" si="95"/>
        <v>8734.18</v>
      </c>
      <c r="L481" s="9">
        <f t="shared" si="95"/>
        <v>7313.47</v>
      </c>
      <c r="M481" s="9">
        <f t="shared" si="95"/>
        <v>7178.91</v>
      </c>
      <c r="N481" s="9">
        <f t="shared" si="95"/>
        <v>103139.98000000001</v>
      </c>
    </row>
    <row r="482" spans="1:14" x14ac:dyDescent="0.2">
      <c r="A482" s="16" t="s">
        <v>314</v>
      </c>
      <c r="B482" s="9">
        <f t="shared" ref="B482:N482" si="96">B477+B481</f>
        <v>5082.8900000000003</v>
      </c>
      <c r="C482" s="9">
        <f t="shared" si="96"/>
        <v>12480.87</v>
      </c>
      <c r="D482" s="9">
        <f t="shared" si="96"/>
        <v>15246.32</v>
      </c>
      <c r="E482" s="9">
        <f t="shared" si="96"/>
        <v>13733.259999999998</v>
      </c>
      <c r="F482" s="9">
        <f t="shared" si="96"/>
        <v>14005.52</v>
      </c>
      <c r="G482" s="9">
        <f t="shared" si="96"/>
        <v>13023.91</v>
      </c>
      <c r="H482" s="9">
        <f t="shared" si="96"/>
        <v>12644.08</v>
      </c>
      <c r="I482" s="9">
        <f t="shared" si="96"/>
        <v>12776.55</v>
      </c>
      <c r="J482" s="9">
        <f t="shared" si="96"/>
        <v>13111.38</v>
      </c>
      <c r="K482" s="9">
        <f t="shared" si="96"/>
        <v>12965.220000000001</v>
      </c>
      <c r="L482" s="9">
        <f t="shared" si="96"/>
        <v>11352.19</v>
      </c>
      <c r="M482" s="9">
        <f t="shared" si="96"/>
        <v>11217.63</v>
      </c>
      <c r="N482" s="9">
        <f t="shared" si="96"/>
        <v>147639.82</v>
      </c>
    </row>
    <row r="484" spans="1:14" x14ac:dyDescent="0.2">
      <c r="A484" s="16" t="s">
        <v>315</v>
      </c>
    </row>
    <row r="485" spans="1:14" x14ac:dyDescent="0.2">
      <c r="A485" s="17" t="s">
        <v>316</v>
      </c>
      <c r="B485" s="10">
        <v>593.04</v>
      </c>
      <c r="C485" s="10">
        <v>1580.19</v>
      </c>
      <c r="D485" s="10">
        <v>1201.01</v>
      </c>
      <c r="E485" s="10">
        <v>1656.4</v>
      </c>
      <c r="F485" s="10">
        <v>1010.31</v>
      </c>
      <c r="G485" s="10">
        <v>1054.31</v>
      </c>
      <c r="H485" s="10">
        <v>903.72</v>
      </c>
      <c r="I485" s="10">
        <v>980.46</v>
      </c>
      <c r="J485" s="10">
        <v>1526.38</v>
      </c>
      <c r="K485" s="10">
        <v>913.85</v>
      </c>
      <c r="L485" s="10">
        <v>914.49</v>
      </c>
      <c r="M485" s="10">
        <v>808.17</v>
      </c>
      <c r="N485" s="10">
        <f t="shared" ref="N485:N490" si="97">B485+C485+D485+E485+F485+G485+H485+I485+J485+K485+L485+M485</f>
        <v>13142.33</v>
      </c>
    </row>
    <row r="486" spans="1:14" x14ac:dyDescent="0.2">
      <c r="A486" s="17" t="s">
        <v>317</v>
      </c>
      <c r="B486" s="10">
        <v>38.729999999999997</v>
      </c>
      <c r="C486" s="10">
        <v>98.98</v>
      </c>
      <c r="D486" s="10">
        <v>99.97</v>
      </c>
      <c r="E486" s="10">
        <v>88.77</v>
      </c>
      <c r="F486" s="10">
        <v>99.45</v>
      </c>
      <c r="G486" s="10">
        <v>94.93</v>
      </c>
      <c r="H486" s="10">
        <v>89.02</v>
      </c>
      <c r="I486" s="10">
        <v>74.540000000000006</v>
      </c>
      <c r="J486" s="10">
        <v>72.78</v>
      </c>
      <c r="K486" s="10">
        <v>63.68</v>
      </c>
      <c r="L486" s="10">
        <v>62.56</v>
      </c>
      <c r="M486" s="10">
        <v>60.7</v>
      </c>
      <c r="N486" s="10">
        <f t="shared" si="97"/>
        <v>944.1099999999999</v>
      </c>
    </row>
    <row r="487" spans="1:14" x14ac:dyDescent="0.2">
      <c r="A487" s="17" t="s">
        <v>318</v>
      </c>
      <c r="B487" s="10">
        <v>76.12</v>
      </c>
      <c r="C487" s="10">
        <v>336.67</v>
      </c>
      <c r="D487" s="10">
        <v>283.86</v>
      </c>
      <c r="E487" s="10">
        <v>163.13999999999999</v>
      </c>
      <c r="F487" s="10">
        <v>300.69</v>
      </c>
      <c r="G487" s="10">
        <v>262.8</v>
      </c>
      <c r="H487" s="10">
        <v>329.2</v>
      </c>
      <c r="I487" s="10">
        <v>302.01</v>
      </c>
      <c r="J487" s="10">
        <v>182.7</v>
      </c>
      <c r="K487" s="10">
        <v>336.88</v>
      </c>
      <c r="L487" s="10">
        <v>282.66000000000003</v>
      </c>
      <c r="M487" s="10">
        <v>285.29000000000002</v>
      </c>
      <c r="N487" s="10">
        <f t="shared" si="97"/>
        <v>3142.0199999999995</v>
      </c>
    </row>
    <row r="488" spans="1:14" x14ac:dyDescent="0.2">
      <c r="A488" s="17" t="s">
        <v>319</v>
      </c>
      <c r="B488" s="10">
        <v>0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336</v>
      </c>
      <c r="K488" s="10">
        <v>0</v>
      </c>
      <c r="L488" s="10">
        <v>0</v>
      </c>
      <c r="M488" s="10">
        <v>0</v>
      </c>
      <c r="N488" s="10">
        <f t="shared" si="97"/>
        <v>336</v>
      </c>
    </row>
    <row r="489" spans="1:14" x14ac:dyDescent="0.2">
      <c r="A489" s="17" t="s">
        <v>320</v>
      </c>
      <c r="B489" s="10">
        <v>0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112</v>
      </c>
      <c r="K489" s="10">
        <v>53.92</v>
      </c>
      <c r="L489" s="10">
        <v>0</v>
      </c>
      <c r="M489" s="10">
        <v>0</v>
      </c>
      <c r="N489" s="10">
        <f t="shared" si="97"/>
        <v>165.92000000000002</v>
      </c>
    </row>
    <row r="490" spans="1:14" x14ac:dyDescent="0.2">
      <c r="A490" s="17" t="s">
        <v>321</v>
      </c>
      <c r="B490" s="10">
        <v>307.68</v>
      </c>
      <c r="C490" s="10">
        <v>0</v>
      </c>
      <c r="D490" s="10">
        <v>0</v>
      </c>
      <c r="E490" s="10">
        <v>0</v>
      </c>
      <c r="F490" s="10">
        <v>0</v>
      </c>
      <c r="G490" s="10">
        <v>589.27</v>
      </c>
      <c r="H490" s="10">
        <v>496.04</v>
      </c>
      <c r="I490" s="10">
        <v>0</v>
      </c>
      <c r="J490" s="10">
        <v>391.45</v>
      </c>
      <c r="K490" s="10">
        <v>0</v>
      </c>
      <c r="L490" s="10">
        <v>471.64</v>
      </c>
      <c r="M490" s="10">
        <v>112</v>
      </c>
      <c r="N490" s="10">
        <f t="shared" si="97"/>
        <v>2368.08</v>
      </c>
    </row>
    <row r="491" spans="1:14" x14ac:dyDescent="0.2">
      <c r="A491" s="16" t="s">
        <v>322</v>
      </c>
      <c r="B491" s="9">
        <f t="shared" ref="B491:N491" si="98">SUM(B485:B490)</f>
        <v>1015.5699999999999</v>
      </c>
      <c r="C491" s="9">
        <f t="shared" si="98"/>
        <v>2015.8400000000001</v>
      </c>
      <c r="D491" s="9">
        <f t="shared" si="98"/>
        <v>1584.8400000000001</v>
      </c>
      <c r="E491" s="9">
        <f t="shared" si="98"/>
        <v>1908.31</v>
      </c>
      <c r="F491" s="9">
        <f t="shared" si="98"/>
        <v>1410.45</v>
      </c>
      <c r="G491" s="9">
        <f t="shared" si="98"/>
        <v>2001.31</v>
      </c>
      <c r="H491" s="9">
        <f t="shared" si="98"/>
        <v>1817.98</v>
      </c>
      <c r="I491" s="9">
        <f t="shared" si="98"/>
        <v>1357.01</v>
      </c>
      <c r="J491" s="9">
        <f t="shared" si="98"/>
        <v>2621.31</v>
      </c>
      <c r="K491" s="9">
        <f t="shared" si="98"/>
        <v>1368.33</v>
      </c>
      <c r="L491" s="9">
        <f t="shared" si="98"/>
        <v>1731.35</v>
      </c>
      <c r="M491" s="9">
        <f t="shared" si="98"/>
        <v>1266.1600000000001</v>
      </c>
      <c r="N491" s="9">
        <f t="shared" si="98"/>
        <v>20098.46</v>
      </c>
    </row>
    <row r="492" spans="1:14" ht="4.95" customHeight="1" x14ac:dyDescent="0.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 ht="4.95" customHeight="1" x14ac:dyDescent="0.2"/>
    <row r="494" spans="1:14" x14ac:dyDescent="0.2">
      <c r="A494" s="16" t="s">
        <v>323</v>
      </c>
      <c r="B494" s="9">
        <f t="shared" ref="B494:N494" si="99">B482+B491</f>
        <v>6098.46</v>
      </c>
      <c r="C494" s="9">
        <f t="shared" si="99"/>
        <v>14496.710000000001</v>
      </c>
      <c r="D494" s="9">
        <f t="shared" si="99"/>
        <v>16831.16</v>
      </c>
      <c r="E494" s="9">
        <f t="shared" si="99"/>
        <v>15641.569999999998</v>
      </c>
      <c r="F494" s="9">
        <f t="shared" si="99"/>
        <v>15415.970000000001</v>
      </c>
      <c r="G494" s="9">
        <f t="shared" si="99"/>
        <v>15025.22</v>
      </c>
      <c r="H494" s="9">
        <f t="shared" si="99"/>
        <v>14462.06</v>
      </c>
      <c r="I494" s="9">
        <f t="shared" si="99"/>
        <v>14133.56</v>
      </c>
      <c r="J494" s="9">
        <f t="shared" si="99"/>
        <v>15732.689999999999</v>
      </c>
      <c r="K494" s="9">
        <f t="shared" si="99"/>
        <v>14333.550000000001</v>
      </c>
      <c r="L494" s="9">
        <f t="shared" si="99"/>
        <v>13083.54</v>
      </c>
      <c r="M494" s="9">
        <f t="shared" si="99"/>
        <v>12483.789999999999</v>
      </c>
      <c r="N494" s="9">
        <f t="shared" si="99"/>
        <v>167738.28</v>
      </c>
    </row>
    <row r="495" spans="1:14" ht="4.95" customHeight="1" x14ac:dyDescent="0.2"/>
    <row r="496" spans="1:14" x14ac:dyDescent="0.2">
      <c r="A496" s="16" t="s">
        <v>114</v>
      </c>
    </row>
    <row r="497" spans="1:14" x14ac:dyDescent="0.2">
      <c r="A497" s="17" t="s">
        <v>324</v>
      </c>
      <c r="B497" s="10">
        <v>474.3</v>
      </c>
      <c r="C497" s="10">
        <v>24.55</v>
      </c>
      <c r="D497" s="10">
        <v>183.18</v>
      </c>
      <c r="E497" s="10">
        <v>39.76</v>
      </c>
      <c r="F497" s="10">
        <v>99.12</v>
      </c>
      <c r="G497" s="10">
        <v>101.49</v>
      </c>
      <c r="H497" s="10">
        <v>70.099999999999994</v>
      </c>
      <c r="I497" s="10">
        <v>0</v>
      </c>
      <c r="J497" s="10">
        <v>0</v>
      </c>
      <c r="K497" s="10">
        <v>41.06</v>
      </c>
      <c r="L497" s="10">
        <v>133.27000000000001</v>
      </c>
      <c r="M497" s="10">
        <v>54.51</v>
      </c>
      <c r="N497" s="10">
        <f t="shared" ref="N497:N505" si="100">B497+C497+D497+E497+F497+G497+H497+I497+J497+K497+L497+M497</f>
        <v>1221.3399999999999</v>
      </c>
    </row>
    <row r="498" spans="1:14" x14ac:dyDescent="0.2">
      <c r="A498" s="17" t="s">
        <v>325</v>
      </c>
      <c r="B498" s="10">
        <v>48.28</v>
      </c>
      <c r="C498" s="10">
        <v>0</v>
      </c>
      <c r="D498" s="10">
        <v>0</v>
      </c>
      <c r="E498" s="10">
        <v>0</v>
      </c>
      <c r="F498" s="10">
        <v>307</v>
      </c>
      <c r="G498" s="10">
        <v>104.86</v>
      </c>
      <c r="H498" s="10">
        <v>105.84</v>
      </c>
      <c r="I498" s="10">
        <v>56.82</v>
      </c>
      <c r="J498" s="10">
        <v>0</v>
      </c>
      <c r="K498" s="10">
        <v>221.86</v>
      </c>
      <c r="L498" s="10">
        <v>1.86</v>
      </c>
      <c r="M498" s="10">
        <v>60.94</v>
      </c>
      <c r="N498" s="10">
        <f t="shared" si="100"/>
        <v>907.46</v>
      </c>
    </row>
    <row r="499" spans="1:14" x14ac:dyDescent="0.2">
      <c r="A499" s="17" t="s">
        <v>326</v>
      </c>
      <c r="B499" s="10">
        <v>243.9</v>
      </c>
      <c r="C499" s="10">
        <v>243.9</v>
      </c>
      <c r="D499" s="10">
        <v>243.9</v>
      </c>
      <c r="E499" s="10">
        <v>243.9</v>
      </c>
      <c r="F499" s="10">
        <v>243.9</v>
      </c>
      <c r="G499" s="10">
        <v>243.9</v>
      </c>
      <c r="H499" s="10">
        <v>243.9</v>
      </c>
      <c r="I499" s="10">
        <v>243.9</v>
      </c>
      <c r="J499" s="10">
        <v>243.9</v>
      </c>
      <c r="K499" s="10">
        <v>243.9</v>
      </c>
      <c r="L499" s="10">
        <v>243.9</v>
      </c>
      <c r="M499" s="10">
        <v>243.9</v>
      </c>
      <c r="N499" s="10">
        <f t="shared" si="100"/>
        <v>2926.8000000000006</v>
      </c>
    </row>
    <row r="500" spans="1:14" x14ac:dyDescent="0.2">
      <c r="A500" s="17" t="s">
        <v>327</v>
      </c>
      <c r="B500" s="10">
        <v>240.25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f t="shared" si="100"/>
        <v>240.25</v>
      </c>
    </row>
    <row r="501" spans="1:14" x14ac:dyDescent="0.2">
      <c r="A501" s="17" t="s">
        <v>328</v>
      </c>
      <c r="B501" s="10">
        <v>327.86</v>
      </c>
      <c r="C501" s="10">
        <v>914.92</v>
      </c>
      <c r="D501" s="10">
        <v>947.67</v>
      </c>
      <c r="E501" s="10">
        <v>2409.17</v>
      </c>
      <c r="F501" s="10">
        <v>3.6</v>
      </c>
      <c r="G501" s="10">
        <v>0</v>
      </c>
      <c r="H501" s="10">
        <v>290.05</v>
      </c>
      <c r="I501" s="10">
        <v>675.27</v>
      </c>
      <c r="J501" s="10">
        <v>0</v>
      </c>
      <c r="K501" s="10">
        <v>680.83</v>
      </c>
      <c r="L501" s="10">
        <v>0</v>
      </c>
      <c r="M501" s="10">
        <v>0</v>
      </c>
      <c r="N501" s="10">
        <f t="shared" si="100"/>
        <v>6249.3700000000008</v>
      </c>
    </row>
    <row r="502" spans="1:14" x14ac:dyDescent="0.2">
      <c r="A502" s="17" t="s">
        <v>329</v>
      </c>
      <c r="B502" s="10">
        <v>0</v>
      </c>
      <c r="C502" s="10">
        <v>837.37</v>
      </c>
      <c r="D502" s="10">
        <v>441.09</v>
      </c>
      <c r="E502" s="10">
        <v>399.29</v>
      </c>
      <c r="F502" s="10">
        <v>644.22</v>
      </c>
      <c r="G502" s="10">
        <v>1209.58</v>
      </c>
      <c r="H502" s="10">
        <v>326.18</v>
      </c>
      <c r="I502" s="10">
        <v>666.1</v>
      </c>
      <c r="J502" s="10">
        <v>1280.49</v>
      </c>
      <c r="K502" s="10">
        <v>1290.8699999999999</v>
      </c>
      <c r="L502" s="10">
        <v>373.72</v>
      </c>
      <c r="M502" s="10">
        <v>1941.26</v>
      </c>
      <c r="N502" s="10">
        <f t="shared" si="100"/>
        <v>9410.17</v>
      </c>
    </row>
    <row r="503" spans="1:14" x14ac:dyDescent="0.2">
      <c r="A503" s="17" t="s">
        <v>330</v>
      </c>
      <c r="B503" s="10">
        <v>2223.94</v>
      </c>
      <c r="C503" s="10">
        <v>2985.31</v>
      </c>
      <c r="D503" s="10">
        <v>4346.67</v>
      </c>
      <c r="E503" s="10">
        <v>3997.26</v>
      </c>
      <c r="F503" s="10">
        <v>3393.73</v>
      </c>
      <c r="G503" s="10">
        <v>3573.6</v>
      </c>
      <c r="H503" s="10">
        <v>3362.09</v>
      </c>
      <c r="I503" s="10">
        <v>3448.08</v>
      </c>
      <c r="J503" s="10">
        <v>3754.4</v>
      </c>
      <c r="K503" s="10">
        <v>3818.27</v>
      </c>
      <c r="L503" s="10">
        <v>3396.43</v>
      </c>
      <c r="M503" s="10">
        <v>2859.99</v>
      </c>
      <c r="N503" s="10">
        <f t="shared" si="100"/>
        <v>41159.769999999997</v>
      </c>
    </row>
    <row r="504" spans="1:14" x14ac:dyDescent="0.2">
      <c r="A504" s="17" t="s">
        <v>331</v>
      </c>
      <c r="B504" s="10">
        <v>0</v>
      </c>
      <c r="C504" s="10">
        <v>0</v>
      </c>
      <c r="D504" s="10">
        <v>26.6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f t="shared" si="100"/>
        <v>26.6</v>
      </c>
    </row>
    <row r="505" spans="1:14" x14ac:dyDescent="0.2">
      <c r="A505" s="17" t="s">
        <v>332</v>
      </c>
      <c r="B505" s="10">
        <v>0</v>
      </c>
      <c r="C505" s="10">
        <v>0</v>
      </c>
      <c r="D505" s="10">
        <v>0</v>
      </c>
      <c r="E505" s="10">
        <v>0</v>
      </c>
      <c r="F505" s="10">
        <v>0</v>
      </c>
      <c r="G505" s="10">
        <v>177.87</v>
      </c>
      <c r="H505" s="10">
        <v>0</v>
      </c>
      <c r="I505" s="10">
        <v>13.86</v>
      </c>
      <c r="J505" s="10">
        <v>0</v>
      </c>
      <c r="K505" s="10">
        <v>0</v>
      </c>
      <c r="L505" s="10">
        <v>0</v>
      </c>
      <c r="M505" s="10">
        <v>27.19</v>
      </c>
      <c r="N505" s="10">
        <f t="shared" si="100"/>
        <v>218.92000000000002</v>
      </c>
    </row>
    <row r="506" spans="1:14" ht="4.95" customHeight="1" x14ac:dyDescent="0.2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 ht="4.95" customHeight="1" x14ac:dyDescent="0.2"/>
    <row r="508" spans="1:14" x14ac:dyDescent="0.2">
      <c r="A508" s="16" t="s">
        <v>137</v>
      </c>
      <c r="B508" s="9">
        <f t="shared" ref="B508:N508" si="101">SUM(B497:B505)</f>
        <v>3558.53</v>
      </c>
      <c r="C508" s="9">
        <f t="shared" si="101"/>
        <v>5006.0499999999993</v>
      </c>
      <c r="D508" s="9">
        <f t="shared" si="101"/>
        <v>6189.1100000000006</v>
      </c>
      <c r="E508" s="9">
        <f t="shared" si="101"/>
        <v>7089.38</v>
      </c>
      <c r="F508" s="9">
        <f t="shared" si="101"/>
        <v>4691.57</v>
      </c>
      <c r="G508" s="9">
        <f t="shared" si="101"/>
        <v>5411.3</v>
      </c>
      <c r="H508" s="9">
        <f t="shared" si="101"/>
        <v>4398.16</v>
      </c>
      <c r="I508" s="9">
        <f t="shared" si="101"/>
        <v>5104.03</v>
      </c>
      <c r="J508" s="9">
        <f t="shared" si="101"/>
        <v>5278.79</v>
      </c>
      <c r="K508" s="9">
        <f t="shared" si="101"/>
        <v>6296.79</v>
      </c>
      <c r="L508" s="9">
        <f t="shared" si="101"/>
        <v>4149.18</v>
      </c>
      <c r="M508" s="9">
        <f t="shared" si="101"/>
        <v>5187.79</v>
      </c>
      <c r="N508" s="9">
        <f t="shared" si="101"/>
        <v>62360.679999999993</v>
      </c>
    </row>
    <row r="509" spans="1:14" ht="4.95" customHeight="1" x14ac:dyDescent="0.2"/>
    <row r="510" spans="1:14" ht="4.95" customHeight="1" x14ac:dyDescent="0.2"/>
    <row r="511" spans="1:14" x14ac:dyDescent="0.2">
      <c r="A511" s="16" t="s">
        <v>333</v>
      </c>
      <c r="B511" s="9">
        <f t="shared" ref="B511:N511" si="102">B468+B494+B508</f>
        <v>20152.439999999999</v>
      </c>
      <c r="C511" s="9">
        <f t="shared" si="102"/>
        <v>26471.74</v>
      </c>
      <c r="D511" s="9">
        <f t="shared" si="102"/>
        <v>39705.979999999996</v>
      </c>
      <c r="E511" s="9">
        <f t="shared" si="102"/>
        <v>38637.049999999996</v>
      </c>
      <c r="F511" s="9">
        <f t="shared" si="102"/>
        <v>31360.35</v>
      </c>
      <c r="G511" s="9">
        <f t="shared" si="102"/>
        <v>40414.01</v>
      </c>
      <c r="H511" s="9">
        <f t="shared" si="102"/>
        <v>32217.91</v>
      </c>
      <c r="I511" s="9">
        <f t="shared" si="102"/>
        <v>30130.35</v>
      </c>
      <c r="J511" s="9">
        <f t="shared" si="102"/>
        <v>32265.1</v>
      </c>
      <c r="K511" s="9">
        <f t="shared" si="102"/>
        <v>37127.520000000004</v>
      </c>
      <c r="L511" s="9">
        <f t="shared" si="102"/>
        <v>26070.99</v>
      </c>
      <c r="M511" s="9">
        <f t="shared" si="102"/>
        <v>28943.32</v>
      </c>
      <c r="N511" s="9">
        <f t="shared" si="102"/>
        <v>383496.75999999995</v>
      </c>
    </row>
    <row r="512" spans="1:14" ht="4.95" customHeight="1" x14ac:dyDescent="0.2"/>
    <row r="513" spans="1:14" x14ac:dyDescent="0.2">
      <c r="A513" s="7" t="s">
        <v>334</v>
      </c>
      <c r="B513" s="9">
        <f t="shared" ref="B513:N513" si="103">B461-B511</f>
        <v>6023.48</v>
      </c>
      <c r="C513" s="9">
        <f t="shared" si="103"/>
        <v>9429.3900000000031</v>
      </c>
      <c r="D513" s="9">
        <f t="shared" si="103"/>
        <v>12659.890000000007</v>
      </c>
      <c r="E513" s="9">
        <f t="shared" si="103"/>
        <v>9504.0600000000049</v>
      </c>
      <c r="F513" s="9">
        <f t="shared" si="103"/>
        <v>9491.7500000000073</v>
      </c>
      <c r="G513" s="9">
        <f t="shared" si="103"/>
        <v>2553.0500000000029</v>
      </c>
      <c r="H513" s="9">
        <f t="shared" si="103"/>
        <v>7962.1700000000019</v>
      </c>
      <c r="I513" s="9">
        <f t="shared" si="103"/>
        <v>11533.879999999997</v>
      </c>
      <c r="J513" s="9">
        <f t="shared" si="103"/>
        <v>12646.080000000002</v>
      </c>
      <c r="K513" s="9">
        <f t="shared" si="103"/>
        <v>9363</v>
      </c>
      <c r="L513" s="9">
        <f t="shared" si="103"/>
        <v>15026.210000000003</v>
      </c>
      <c r="M513" s="9">
        <f t="shared" si="103"/>
        <v>5340.239999999998</v>
      </c>
      <c r="N513" s="9">
        <f t="shared" si="103"/>
        <v>111533.20000000007</v>
      </c>
    </row>
    <row r="514" spans="1:14" ht="4.95" customHeight="1" x14ac:dyDescent="0.2"/>
    <row r="515" spans="1:14" x14ac:dyDescent="0.2">
      <c r="A515" s="16" t="s">
        <v>335</v>
      </c>
    </row>
    <row r="517" spans="1:14" x14ac:dyDescent="0.2">
      <c r="A517" s="16" t="s">
        <v>336</v>
      </c>
    </row>
    <row r="518" spans="1:14" x14ac:dyDescent="0.2">
      <c r="A518" s="16" t="s">
        <v>337</v>
      </c>
    </row>
    <row r="519" spans="1:14" x14ac:dyDescent="0.2">
      <c r="A519" s="17" t="s">
        <v>338</v>
      </c>
      <c r="B519" s="10">
        <v>20434.95</v>
      </c>
      <c r="C519" s="10">
        <v>27204.35</v>
      </c>
      <c r="D519" s="10">
        <v>32219.25</v>
      </c>
      <c r="E519" s="10">
        <v>29216.55</v>
      </c>
      <c r="F519" s="10">
        <v>23132.94</v>
      </c>
      <c r="G519" s="10">
        <v>24213.58</v>
      </c>
      <c r="H519" s="10">
        <v>24762.5</v>
      </c>
      <c r="I519" s="10">
        <v>24694.959999999999</v>
      </c>
      <c r="J519" s="10">
        <v>29617.67</v>
      </c>
      <c r="K519" s="10">
        <v>26652.25</v>
      </c>
      <c r="L519" s="10">
        <v>23021.200000000001</v>
      </c>
      <c r="M519" s="10">
        <v>17163</v>
      </c>
      <c r="N519" s="10">
        <f>B519+C519+D519+E519+F519+G519+H519+I519+J519+K519+L519+M519</f>
        <v>302333.2</v>
      </c>
    </row>
    <row r="520" spans="1:14" ht="4.95" customHeight="1" x14ac:dyDescent="0.2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 ht="4.95" customHeight="1" x14ac:dyDescent="0.2"/>
    <row r="522" spans="1:14" x14ac:dyDescent="0.2">
      <c r="A522" s="16" t="s">
        <v>339</v>
      </c>
      <c r="B522" s="9">
        <f t="shared" ref="B522:N522" si="104">B519</f>
        <v>20434.95</v>
      </c>
      <c r="C522" s="9">
        <f t="shared" si="104"/>
        <v>27204.35</v>
      </c>
      <c r="D522" s="9">
        <f t="shared" si="104"/>
        <v>32219.25</v>
      </c>
      <c r="E522" s="9">
        <f t="shared" si="104"/>
        <v>29216.55</v>
      </c>
      <c r="F522" s="9">
        <f t="shared" si="104"/>
        <v>23132.94</v>
      </c>
      <c r="G522" s="9">
        <f t="shared" si="104"/>
        <v>24213.58</v>
      </c>
      <c r="H522" s="9">
        <f t="shared" si="104"/>
        <v>24762.5</v>
      </c>
      <c r="I522" s="9">
        <f t="shared" si="104"/>
        <v>24694.959999999999</v>
      </c>
      <c r="J522" s="9">
        <f t="shared" si="104"/>
        <v>29617.67</v>
      </c>
      <c r="K522" s="9">
        <f t="shared" si="104"/>
        <v>26652.25</v>
      </c>
      <c r="L522" s="9">
        <f t="shared" si="104"/>
        <v>23021.200000000001</v>
      </c>
      <c r="M522" s="9">
        <f t="shared" si="104"/>
        <v>17163</v>
      </c>
      <c r="N522" s="9">
        <f t="shared" si="104"/>
        <v>302333.2</v>
      </c>
    </row>
    <row r="523" spans="1:14" ht="4.95" customHeight="1" x14ac:dyDescent="0.2"/>
    <row r="524" spans="1:14" x14ac:dyDescent="0.2">
      <c r="A524" s="16" t="s">
        <v>340</v>
      </c>
    </row>
    <row r="525" spans="1:14" x14ac:dyDescent="0.2">
      <c r="A525" s="17" t="s">
        <v>341</v>
      </c>
      <c r="B525" s="10">
        <v>6714.5</v>
      </c>
      <c r="C525" s="10">
        <v>9675.5</v>
      </c>
      <c r="D525" s="10">
        <v>10531.7</v>
      </c>
      <c r="E525" s="10">
        <v>8620</v>
      </c>
      <c r="F525" s="10">
        <v>8036</v>
      </c>
      <c r="G525" s="10">
        <v>9964</v>
      </c>
      <c r="H525" s="10">
        <v>7321</v>
      </c>
      <c r="I525" s="10">
        <v>8031</v>
      </c>
      <c r="J525" s="10">
        <v>7954</v>
      </c>
      <c r="K525" s="10">
        <v>9762.5</v>
      </c>
      <c r="L525" s="10">
        <v>7893</v>
      </c>
      <c r="M525" s="10">
        <v>6694</v>
      </c>
      <c r="N525" s="10">
        <f>B525+C525+D525+E525+F525+G525+H525+I525+J525+K525+L525+M525</f>
        <v>101197.2</v>
      </c>
    </row>
    <row r="526" spans="1:14" x14ac:dyDescent="0.2">
      <c r="A526" s="17" t="s">
        <v>342</v>
      </c>
      <c r="B526" s="10">
        <v>4011</v>
      </c>
      <c r="C526" s="10">
        <v>5486</v>
      </c>
      <c r="D526" s="10">
        <v>5848</v>
      </c>
      <c r="E526" s="10">
        <v>7140</v>
      </c>
      <c r="F526" s="10">
        <v>5030</v>
      </c>
      <c r="G526" s="10">
        <v>4184</v>
      </c>
      <c r="H526" s="10">
        <v>4276</v>
      </c>
      <c r="I526" s="10">
        <v>4266</v>
      </c>
      <c r="J526" s="10">
        <v>4938</v>
      </c>
      <c r="K526" s="10">
        <v>4175</v>
      </c>
      <c r="L526" s="10">
        <v>4335</v>
      </c>
      <c r="M526" s="10">
        <v>2842</v>
      </c>
      <c r="N526" s="10">
        <f>B526+C526+D526+E526+F526+G526+H526+I526+J526+K526+L526+M526</f>
        <v>56531</v>
      </c>
    </row>
    <row r="527" spans="1:14" x14ac:dyDescent="0.2">
      <c r="A527" s="17" t="s">
        <v>343</v>
      </c>
      <c r="B527" s="10">
        <v>18825</v>
      </c>
      <c r="C527" s="10">
        <v>21030</v>
      </c>
      <c r="D527" s="10">
        <v>31215</v>
      </c>
      <c r="E527" s="10">
        <v>27227</v>
      </c>
      <c r="F527" s="10">
        <v>18470</v>
      </c>
      <c r="G527" s="10">
        <v>22360</v>
      </c>
      <c r="H527" s="10">
        <v>18916</v>
      </c>
      <c r="I527" s="10">
        <v>19540</v>
      </c>
      <c r="J527" s="10">
        <v>20511</v>
      </c>
      <c r="K527" s="10">
        <v>18119</v>
      </c>
      <c r="L527" s="10">
        <v>18135</v>
      </c>
      <c r="M527" s="10">
        <v>12908</v>
      </c>
      <c r="N527" s="10">
        <f>B527+C527+D527+E527+F527+G527+H527+I527+J527+K527+L527+M527</f>
        <v>247256</v>
      </c>
    </row>
    <row r="528" spans="1:14" ht="4.95" customHeight="1" x14ac:dyDescent="0.2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 ht="4.95" customHeight="1" x14ac:dyDescent="0.2"/>
    <row r="530" spans="1:14" x14ac:dyDescent="0.2">
      <c r="A530" s="16" t="s">
        <v>344</v>
      </c>
      <c r="B530" s="9">
        <f t="shared" ref="B530:N530" si="105">SUM(B525:B527)</f>
        <v>29550.5</v>
      </c>
      <c r="C530" s="9">
        <f t="shared" si="105"/>
        <v>36191.5</v>
      </c>
      <c r="D530" s="9">
        <f t="shared" si="105"/>
        <v>47594.7</v>
      </c>
      <c r="E530" s="9">
        <f t="shared" si="105"/>
        <v>42987</v>
      </c>
      <c r="F530" s="9">
        <f t="shared" si="105"/>
        <v>31536</v>
      </c>
      <c r="G530" s="9">
        <f t="shared" si="105"/>
        <v>36508</v>
      </c>
      <c r="H530" s="9">
        <f t="shared" si="105"/>
        <v>30513</v>
      </c>
      <c r="I530" s="9">
        <f t="shared" si="105"/>
        <v>31837</v>
      </c>
      <c r="J530" s="9">
        <f t="shared" si="105"/>
        <v>33403</v>
      </c>
      <c r="K530" s="9">
        <f t="shared" si="105"/>
        <v>32056.5</v>
      </c>
      <c r="L530" s="9">
        <f t="shared" si="105"/>
        <v>30363</v>
      </c>
      <c r="M530" s="9">
        <f t="shared" si="105"/>
        <v>22444</v>
      </c>
      <c r="N530" s="9">
        <f t="shared" si="105"/>
        <v>404984.2</v>
      </c>
    </row>
    <row r="531" spans="1:14" ht="4.95" customHeight="1" x14ac:dyDescent="0.2"/>
    <row r="532" spans="1:14" ht="4.95" customHeight="1" x14ac:dyDescent="0.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 ht="4.95" customHeight="1" x14ac:dyDescent="0.2"/>
    <row r="534" spans="1:14" x14ac:dyDescent="0.2">
      <c r="A534" s="16" t="s">
        <v>345</v>
      </c>
      <c r="B534" s="9">
        <f t="shared" ref="B534:N534" si="106">B522+B530</f>
        <v>49985.45</v>
      </c>
      <c r="C534" s="9">
        <f t="shared" si="106"/>
        <v>63395.85</v>
      </c>
      <c r="D534" s="9">
        <f t="shared" si="106"/>
        <v>79813.95</v>
      </c>
      <c r="E534" s="9">
        <f t="shared" si="106"/>
        <v>72203.55</v>
      </c>
      <c r="F534" s="9">
        <f t="shared" si="106"/>
        <v>54668.94</v>
      </c>
      <c r="G534" s="9">
        <f t="shared" si="106"/>
        <v>60721.58</v>
      </c>
      <c r="H534" s="9">
        <f t="shared" si="106"/>
        <v>55275.5</v>
      </c>
      <c r="I534" s="9">
        <f t="shared" si="106"/>
        <v>56531.96</v>
      </c>
      <c r="J534" s="9">
        <f t="shared" si="106"/>
        <v>63020.67</v>
      </c>
      <c r="K534" s="9">
        <f t="shared" si="106"/>
        <v>58708.75</v>
      </c>
      <c r="L534" s="9">
        <f t="shared" si="106"/>
        <v>53384.2</v>
      </c>
      <c r="M534" s="9">
        <f t="shared" si="106"/>
        <v>39607</v>
      </c>
      <c r="N534" s="9">
        <f t="shared" si="106"/>
        <v>707317.4</v>
      </c>
    </row>
    <row r="536" spans="1:14" x14ac:dyDescent="0.2">
      <c r="A536" s="16" t="s">
        <v>346</v>
      </c>
    </row>
    <row r="537" spans="1:14" x14ac:dyDescent="0.2">
      <c r="A537" s="17" t="s">
        <v>347</v>
      </c>
      <c r="B537" s="10">
        <v>4401.8599999999997</v>
      </c>
      <c r="C537" s="10">
        <v>6123.48</v>
      </c>
      <c r="D537" s="10">
        <v>7148.98</v>
      </c>
      <c r="E537" s="10">
        <v>7296.26</v>
      </c>
      <c r="F537" s="10">
        <v>5741.5</v>
      </c>
      <c r="G537" s="10">
        <v>5606.53</v>
      </c>
      <c r="H537" s="10">
        <v>8103.36</v>
      </c>
      <c r="I537" s="10">
        <v>5633.68</v>
      </c>
      <c r="J537" s="10">
        <v>7183.86</v>
      </c>
      <c r="K537" s="10">
        <v>5702.18</v>
      </c>
      <c r="L537" s="10">
        <v>8004.6</v>
      </c>
      <c r="M537" s="10">
        <v>4113.0200000000004</v>
      </c>
      <c r="N537" s="10">
        <f>B537+C537+D537+E537+F537+G537+H537+I537+J537+K537+L537+M537</f>
        <v>75059.310000000012</v>
      </c>
    </row>
    <row r="538" spans="1:14" x14ac:dyDescent="0.2">
      <c r="A538" s="17" t="s">
        <v>348</v>
      </c>
      <c r="B538" s="10">
        <v>3426.66</v>
      </c>
      <c r="C538" s="10">
        <v>5467.53</v>
      </c>
      <c r="D538" s="10">
        <v>6634.65</v>
      </c>
      <c r="E538" s="10">
        <v>5557.98</v>
      </c>
      <c r="F538" s="10">
        <v>4211.92</v>
      </c>
      <c r="G538" s="10">
        <v>6121.54</v>
      </c>
      <c r="H538" s="10">
        <v>4589.21</v>
      </c>
      <c r="I538" s="10">
        <v>5881.11</v>
      </c>
      <c r="J538" s="10">
        <v>5665.71</v>
      </c>
      <c r="K538" s="10">
        <v>4441.5200000000004</v>
      </c>
      <c r="L538" s="10">
        <v>4617.7700000000004</v>
      </c>
      <c r="M538" s="10">
        <v>3016.58</v>
      </c>
      <c r="N538" s="10">
        <f>B538+C538+D538+E538+F538+G538+H538+I538+J538+K538+L538+M538</f>
        <v>59632.180000000008</v>
      </c>
    </row>
    <row r="539" spans="1:14" ht="4.95" customHeight="1" x14ac:dyDescent="0.2"/>
    <row r="540" spans="1:14" ht="4.95" customHeight="1" x14ac:dyDescent="0.2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 ht="4.95" customHeight="1" x14ac:dyDescent="0.2"/>
    <row r="542" spans="1:14" x14ac:dyDescent="0.2">
      <c r="A542" s="16" t="s">
        <v>349</v>
      </c>
      <c r="B542" s="9">
        <f t="shared" ref="B542:N542" si="107">SUM(B537:B538)</f>
        <v>7828.5199999999995</v>
      </c>
      <c r="C542" s="9">
        <f t="shared" si="107"/>
        <v>11591.009999999998</v>
      </c>
      <c r="D542" s="9">
        <f t="shared" si="107"/>
        <v>13783.63</v>
      </c>
      <c r="E542" s="9">
        <f t="shared" si="107"/>
        <v>12854.24</v>
      </c>
      <c r="F542" s="9">
        <f t="shared" si="107"/>
        <v>9953.42</v>
      </c>
      <c r="G542" s="9">
        <f t="shared" si="107"/>
        <v>11728.07</v>
      </c>
      <c r="H542" s="9">
        <f t="shared" si="107"/>
        <v>12692.57</v>
      </c>
      <c r="I542" s="9">
        <f t="shared" si="107"/>
        <v>11514.79</v>
      </c>
      <c r="J542" s="9">
        <f t="shared" si="107"/>
        <v>12849.57</v>
      </c>
      <c r="K542" s="9">
        <f t="shared" si="107"/>
        <v>10143.700000000001</v>
      </c>
      <c r="L542" s="9">
        <f t="shared" si="107"/>
        <v>12622.37</v>
      </c>
      <c r="M542" s="9">
        <f t="shared" si="107"/>
        <v>7129.6</v>
      </c>
      <c r="N542" s="9">
        <f t="shared" si="107"/>
        <v>134691.49000000002</v>
      </c>
    </row>
    <row r="543" spans="1:14" ht="4.95" customHeight="1" x14ac:dyDescent="0.2"/>
    <row r="544" spans="1:14" x14ac:dyDescent="0.2">
      <c r="A544" s="16" t="s">
        <v>192</v>
      </c>
      <c r="B544" s="9">
        <f t="shared" ref="B544:N544" si="108">(B534)-(B542)</f>
        <v>42156.93</v>
      </c>
      <c r="C544" s="9">
        <f t="shared" si="108"/>
        <v>51804.84</v>
      </c>
      <c r="D544" s="9">
        <f t="shared" si="108"/>
        <v>66030.319999999992</v>
      </c>
      <c r="E544" s="9">
        <f t="shared" si="108"/>
        <v>59349.310000000005</v>
      </c>
      <c r="F544" s="9">
        <f t="shared" si="108"/>
        <v>44715.520000000004</v>
      </c>
      <c r="G544" s="9">
        <f t="shared" si="108"/>
        <v>48993.51</v>
      </c>
      <c r="H544" s="9">
        <f t="shared" si="108"/>
        <v>42582.93</v>
      </c>
      <c r="I544" s="9">
        <f t="shared" si="108"/>
        <v>45017.17</v>
      </c>
      <c r="J544" s="9">
        <f t="shared" si="108"/>
        <v>50171.1</v>
      </c>
      <c r="K544" s="9">
        <f t="shared" si="108"/>
        <v>48565.05</v>
      </c>
      <c r="L544" s="9">
        <f t="shared" si="108"/>
        <v>40761.829999999994</v>
      </c>
      <c r="M544" s="9">
        <f t="shared" si="108"/>
        <v>32477.4</v>
      </c>
      <c r="N544" s="9">
        <f t="shared" si="108"/>
        <v>572625.91</v>
      </c>
    </row>
    <row r="546" spans="1:14" x14ac:dyDescent="0.2">
      <c r="A546" s="16" t="s">
        <v>350</v>
      </c>
    </row>
    <row r="548" spans="1:14" x14ac:dyDescent="0.2">
      <c r="A548" s="16" t="s">
        <v>351</v>
      </c>
    </row>
    <row r="549" spans="1:14" x14ac:dyDescent="0.2">
      <c r="A549" s="16" t="s">
        <v>352</v>
      </c>
    </row>
    <row r="550" spans="1:14" x14ac:dyDescent="0.2">
      <c r="A550" s="17" t="s">
        <v>353</v>
      </c>
      <c r="B550" s="10">
        <v>909.96</v>
      </c>
      <c r="C550" s="10">
        <v>650</v>
      </c>
      <c r="D550" s="10">
        <v>959.57</v>
      </c>
      <c r="E550" s="10">
        <v>674.49</v>
      </c>
      <c r="F550" s="10">
        <v>836.06</v>
      </c>
      <c r="G550" s="10">
        <v>680.89</v>
      </c>
      <c r="H550" s="10">
        <v>519.1</v>
      </c>
      <c r="I550" s="10">
        <v>1059.42</v>
      </c>
      <c r="J550" s="10">
        <v>1144.5999999999999</v>
      </c>
      <c r="K550" s="10">
        <v>951.44</v>
      </c>
      <c r="L550" s="10">
        <v>793.4</v>
      </c>
      <c r="M550" s="10">
        <v>787.67</v>
      </c>
      <c r="N550" s="10">
        <f>B550+C550+D550+E550+F550+G550+H550+I550+J550+K550+L550+M550</f>
        <v>9966.6</v>
      </c>
    </row>
    <row r="551" spans="1:14" x14ac:dyDescent="0.2">
      <c r="A551" s="17" t="s">
        <v>354</v>
      </c>
      <c r="B551" s="10">
        <v>2929.76</v>
      </c>
      <c r="C551" s="10">
        <v>3310.07</v>
      </c>
      <c r="D551" s="10">
        <v>3503.71</v>
      </c>
      <c r="E551" s="10">
        <v>3882.33</v>
      </c>
      <c r="F551" s="10">
        <v>3738.03</v>
      </c>
      <c r="G551" s="10">
        <v>3524.81</v>
      </c>
      <c r="H551" s="10">
        <v>3852.97</v>
      </c>
      <c r="I551" s="10">
        <v>3492.68</v>
      </c>
      <c r="J551" s="10">
        <v>3184.81</v>
      </c>
      <c r="K551" s="10">
        <v>3473.99</v>
      </c>
      <c r="L551" s="10">
        <v>3470.13</v>
      </c>
      <c r="M551" s="10">
        <v>3424.83</v>
      </c>
      <c r="N551" s="10">
        <f>B551+C551+D551+E551+F551+G551+H551+I551+J551+K551+L551+M551</f>
        <v>41788.120000000003</v>
      </c>
    </row>
    <row r="552" spans="1:14" x14ac:dyDescent="0.2">
      <c r="A552" s="16" t="s">
        <v>355</v>
      </c>
      <c r="B552" s="9">
        <f t="shared" ref="B552:N552" si="109">SUM(B550:B551)</f>
        <v>3839.7200000000003</v>
      </c>
      <c r="C552" s="9">
        <f t="shared" si="109"/>
        <v>3960.07</v>
      </c>
      <c r="D552" s="9">
        <f t="shared" si="109"/>
        <v>4463.28</v>
      </c>
      <c r="E552" s="9">
        <f t="shared" si="109"/>
        <v>4556.82</v>
      </c>
      <c r="F552" s="9">
        <f t="shared" si="109"/>
        <v>4574.09</v>
      </c>
      <c r="G552" s="9">
        <f t="shared" si="109"/>
        <v>4205.7</v>
      </c>
      <c r="H552" s="9">
        <f t="shared" si="109"/>
        <v>4372.07</v>
      </c>
      <c r="I552" s="9">
        <f t="shared" si="109"/>
        <v>4552.1000000000004</v>
      </c>
      <c r="J552" s="9">
        <f t="shared" si="109"/>
        <v>4329.41</v>
      </c>
      <c r="K552" s="9">
        <f t="shared" si="109"/>
        <v>4425.43</v>
      </c>
      <c r="L552" s="9">
        <f t="shared" si="109"/>
        <v>4263.53</v>
      </c>
      <c r="M552" s="9">
        <f t="shared" si="109"/>
        <v>4212.5</v>
      </c>
      <c r="N552" s="9">
        <f t="shared" si="109"/>
        <v>51754.720000000001</v>
      </c>
    </row>
    <row r="553" spans="1:14" x14ac:dyDescent="0.2">
      <c r="A553" s="16" t="s">
        <v>356</v>
      </c>
      <c r="B553" s="9">
        <f t="shared" ref="B553:N553" si="110">B552</f>
        <v>3839.7200000000003</v>
      </c>
      <c r="C553" s="9">
        <f t="shared" si="110"/>
        <v>3960.07</v>
      </c>
      <c r="D553" s="9">
        <f t="shared" si="110"/>
        <v>4463.28</v>
      </c>
      <c r="E553" s="9">
        <f t="shared" si="110"/>
        <v>4556.82</v>
      </c>
      <c r="F553" s="9">
        <f t="shared" si="110"/>
        <v>4574.09</v>
      </c>
      <c r="G553" s="9">
        <f t="shared" si="110"/>
        <v>4205.7</v>
      </c>
      <c r="H553" s="9">
        <f t="shared" si="110"/>
        <v>4372.07</v>
      </c>
      <c r="I553" s="9">
        <f t="shared" si="110"/>
        <v>4552.1000000000004</v>
      </c>
      <c r="J553" s="9">
        <f t="shared" si="110"/>
        <v>4329.41</v>
      </c>
      <c r="K553" s="9">
        <f t="shared" si="110"/>
        <v>4425.43</v>
      </c>
      <c r="L553" s="9">
        <f t="shared" si="110"/>
        <v>4263.53</v>
      </c>
      <c r="M553" s="9">
        <f t="shared" si="110"/>
        <v>4212.5</v>
      </c>
      <c r="N553" s="9">
        <f t="shared" si="110"/>
        <v>51754.720000000001</v>
      </c>
    </row>
    <row r="555" spans="1:14" x14ac:dyDescent="0.2">
      <c r="A555" s="16" t="s">
        <v>357</v>
      </c>
    </row>
    <row r="556" spans="1:14" x14ac:dyDescent="0.2">
      <c r="A556" s="17" t="s">
        <v>358</v>
      </c>
      <c r="B556" s="10">
        <v>250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f t="shared" ref="N556:N562" si="111">B556+C556+D556+E556+F556+G556+H556+I556+J556+K556+L556+M556</f>
        <v>250</v>
      </c>
    </row>
    <row r="557" spans="1:14" x14ac:dyDescent="0.2">
      <c r="A557" s="17" t="s">
        <v>359</v>
      </c>
      <c r="B557" s="10">
        <v>447.99</v>
      </c>
      <c r="C557" s="10">
        <v>501.38</v>
      </c>
      <c r="D557" s="10">
        <v>351.59</v>
      </c>
      <c r="E557" s="10">
        <v>549.61</v>
      </c>
      <c r="F557" s="10">
        <v>329.96</v>
      </c>
      <c r="G557" s="10">
        <v>340.46</v>
      </c>
      <c r="H557" s="10">
        <v>312.49</v>
      </c>
      <c r="I557" s="10">
        <v>349.32</v>
      </c>
      <c r="J557" s="10">
        <v>504.02</v>
      </c>
      <c r="K557" s="10">
        <v>311.92</v>
      </c>
      <c r="L557" s="10">
        <v>343.46</v>
      </c>
      <c r="M557" s="10">
        <v>303.49</v>
      </c>
      <c r="N557" s="10">
        <f t="shared" si="111"/>
        <v>4645.6900000000005</v>
      </c>
    </row>
    <row r="558" spans="1:14" x14ac:dyDescent="0.2">
      <c r="A558" s="17" t="s">
        <v>360</v>
      </c>
      <c r="B558" s="10">
        <v>29.26</v>
      </c>
      <c r="C558" s="10">
        <v>31.41</v>
      </c>
      <c r="D558" s="10">
        <v>29.26</v>
      </c>
      <c r="E558" s="10">
        <v>29.45</v>
      </c>
      <c r="F558" s="10">
        <v>32.479999999999997</v>
      </c>
      <c r="G558" s="10">
        <v>30.65</v>
      </c>
      <c r="H558" s="10">
        <v>30.78</v>
      </c>
      <c r="I558" s="10">
        <v>26.56</v>
      </c>
      <c r="J558" s="10">
        <v>24.03</v>
      </c>
      <c r="K558" s="10">
        <v>21.74</v>
      </c>
      <c r="L558" s="10">
        <v>23.49</v>
      </c>
      <c r="M558" s="10">
        <v>22.8</v>
      </c>
      <c r="N558" s="10">
        <f t="shared" si="111"/>
        <v>331.91</v>
      </c>
    </row>
    <row r="559" spans="1:14" x14ac:dyDescent="0.2">
      <c r="A559" s="17" t="s">
        <v>361</v>
      </c>
      <c r="B559" s="10">
        <v>57.52</v>
      </c>
      <c r="C559" s="10">
        <v>106.82</v>
      </c>
      <c r="D559" s="10">
        <v>83.1</v>
      </c>
      <c r="E559" s="10">
        <v>54.12</v>
      </c>
      <c r="F559" s="10">
        <v>98.2</v>
      </c>
      <c r="G559" s="10">
        <v>84.86</v>
      </c>
      <c r="H559" s="10">
        <v>113.83</v>
      </c>
      <c r="I559" s="10">
        <v>107.6</v>
      </c>
      <c r="J559" s="10">
        <v>60.33</v>
      </c>
      <c r="K559" s="10">
        <v>114.99</v>
      </c>
      <c r="L559" s="10">
        <v>106.16</v>
      </c>
      <c r="M559" s="10">
        <v>107.13</v>
      </c>
      <c r="N559" s="10">
        <f t="shared" si="111"/>
        <v>1094.6600000000001</v>
      </c>
    </row>
    <row r="560" spans="1:14" x14ac:dyDescent="0.2">
      <c r="A560" s="17" t="s">
        <v>362</v>
      </c>
      <c r="B560" s="10">
        <v>-40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70.08</v>
      </c>
      <c r="M560" s="10">
        <v>70.08</v>
      </c>
      <c r="N560" s="10">
        <f t="shared" si="111"/>
        <v>100.16</v>
      </c>
    </row>
    <row r="561" spans="1:14" x14ac:dyDescent="0.2">
      <c r="A561" s="17" t="s">
        <v>363</v>
      </c>
      <c r="B561" s="10">
        <v>0</v>
      </c>
      <c r="C561" s="10">
        <v>0</v>
      </c>
      <c r="D561" s="10">
        <v>40</v>
      </c>
      <c r="E561" s="10">
        <v>86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70.08</v>
      </c>
      <c r="M561" s="10">
        <v>70.08</v>
      </c>
      <c r="N561" s="10">
        <f t="shared" si="111"/>
        <v>266.15999999999997</v>
      </c>
    </row>
    <row r="562" spans="1:14" x14ac:dyDescent="0.2">
      <c r="A562" s="17" t="s">
        <v>364</v>
      </c>
      <c r="B562" s="10">
        <v>106.26</v>
      </c>
      <c r="C562" s="10">
        <v>0</v>
      </c>
      <c r="D562" s="10">
        <v>0</v>
      </c>
      <c r="E562" s="10">
        <v>0</v>
      </c>
      <c r="F562" s="10">
        <v>0</v>
      </c>
      <c r="G562" s="10">
        <v>114.67</v>
      </c>
      <c r="H562" s="10">
        <v>118.41</v>
      </c>
      <c r="I562" s="10">
        <v>0</v>
      </c>
      <c r="J562" s="10">
        <v>125.11</v>
      </c>
      <c r="K562" s="10">
        <v>0</v>
      </c>
      <c r="L562" s="10">
        <v>190.2</v>
      </c>
      <c r="M562" s="10">
        <v>0</v>
      </c>
      <c r="N562" s="10">
        <f t="shared" si="111"/>
        <v>654.65000000000009</v>
      </c>
    </row>
    <row r="563" spans="1:14" x14ac:dyDescent="0.2">
      <c r="A563" s="16" t="s">
        <v>365</v>
      </c>
      <c r="B563" s="9">
        <f t="shared" ref="B563:N563" si="112">SUM(B556:B562)</f>
        <v>851.03</v>
      </c>
      <c r="C563" s="9">
        <f t="shared" si="112"/>
        <v>639.6099999999999</v>
      </c>
      <c r="D563" s="9">
        <f t="shared" si="112"/>
        <v>503.94999999999993</v>
      </c>
      <c r="E563" s="9">
        <f t="shared" si="112"/>
        <v>719.18000000000006</v>
      </c>
      <c r="F563" s="9">
        <f t="shared" si="112"/>
        <v>460.64</v>
      </c>
      <c r="G563" s="9">
        <f t="shared" si="112"/>
        <v>570.64</v>
      </c>
      <c r="H563" s="9">
        <f t="shared" si="112"/>
        <v>575.51</v>
      </c>
      <c r="I563" s="9">
        <f t="shared" si="112"/>
        <v>483.48</v>
      </c>
      <c r="J563" s="9">
        <f t="shared" si="112"/>
        <v>713.49</v>
      </c>
      <c r="K563" s="9">
        <f t="shared" si="112"/>
        <v>448.65000000000003</v>
      </c>
      <c r="L563" s="9">
        <f t="shared" si="112"/>
        <v>803.47</v>
      </c>
      <c r="M563" s="9">
        <f t="shared" si="112"/>
        <v>573.58000000000004</v>
      </c>
      <c r="N563" s="9">
        <f t="shared" si="112"/>
        <v>7343.23</v>
      </c>
    </row>
    <row r="564" spans="1:14" ht="4.95" customHeight="1" x14ac:dyDescent="0.2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 ht="4.95" customHeight="1" x14ac:dyDescent="0.2"/>
    <row r="566" spans="1:14" x14ac:dyDescent="0.2">
      <c r="A566" s="16" t="s">
        <v>366</v>
      </c>
      <c r="B566" s="9">
        <f t="shared" ref="B566:N566" si="113">B553+B563</f>
        <v>4690.75</v>
      </c>
      <c r="C566" s="9">
        <f t="shared" si="113"/>
        <v>4599.68</v>
      </c>
      <c r="D566" s="9">
        <f t="shared" si="113"/>
        <v>4967.2299999999996</v>
      </c>
      <c r="E566" s="9">
        <f t="shared" si="113"/>
        <v>5276</v>
      </c>
      <c r="F566" s="9">
        <f t="shared" si="113"/>
        <v>5034.7300000000005</v>
      </c>
      <c r="G566" s="9">
        <f t="shared" si="113"/>
        <v>4776.34</v>
      </c>
      <c r="H566" s="9">
        <f t="shared" si="113"/>
        <v>4947.58</v>
      </c>
      <c r="I566" s="9">
        <f t="shared" si="113"/>
        <v>5035.58</v>
      </c>
      <c r="J566" s="9">
        <f t="shared" si="113"/>
        <v>5042.8999999999996</v>
      </c>
      <c r="K566" s="9">
        <f t="shared" si="113"/>
        <v>4874.08</v>
      </c>
      <c r="L566" s="9">
        <f t="shared" si="113"/>
        <v>5067</v>
      </c>
      <c r="M566" s="9">
        <f t="shared" si="113"/>
        <v>4786.08</v>
      </c>
      <c r="N566" s="9">
        <f t="shared" si="113"/>
        <v>59097.95</v>
      </c>
    </row>
    <row r="567" spans="1:14" ht="4.95" customHeight="1" x14ac:dyDescent="0.2"/>
    <row r="568" spans="1:14" x14ac:dyDescent="0.2">
      <c r="A568" s="16" t="s">
        <v>114</v>
      </c>
    </row>
    <row r="569" spans="1:14" x14ac:dyDescent="0.2">
      <c r="A569" s="17" t="s">
        <v>367</v>
      </c>
      <c r="B569" s="10">
        <v>78.48</v>
      </c>
      <c r="C569" s="10">
        <v>0</v>
      </c>
      <c r="D569" s="10">
        <v>97.43</v>
      </c>
      <c r="E569" s="10">
        <v>0</v>
      </c>
      <c r="F569" s="10">
        <v>0</v>
      </c>
      <c r="G569" s="10">
        <v>0</v>
      </c>
      <c r="H569" s="10">
        <v>341.79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f t="shared" ref="N569:N575" si="114">B569+C569+D569+E569+F569+G569+H569+I569+J569+K569+L569+M569</f>
        <v>517.70000000000005</v>
      </c>
    </row>
    <row r="570" spans="1:14" x14ac:dyDescent="0.2">
      <c r="A570" s="17" t="s">
        <v>368</v>
      </c>
      <c r="B570" s="10">
        <v>0</v>
      </c>
      <c r="C570" s="10">
        <v>0</v>
      </c>
      <c r="D570" s="10">
        <v>0</v>
      </c>
      <c r="E570" s="10">
        <v>0</v>
      </c>
      <c r="F570" s="10">
        <v>0</v>
      </c>
      <c r="G570" s="10">
        <v>27.05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f t="shared" si="114"/>
        <v>27.05</v>
      </c>
    </row>
    <row r="571" spans="1:14" x14ac:dyDescent="0.2">
      <c r="A571" s="17" t="s">
        <v>369</v>
      </c>
      <c r="B571" s="10">
        <v>1310.75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f t="shared" si="114"/>
        <v>1310.75</v>
      </c>
    </row>
    <row r="572" spans="1:14" x14ac:dyDescent="0.2">
      <c r="A572" s="17" t="s">
        <v>370</v>
      </c>
      <c r="B572" s="10">
        <v>288.33999999999997</v>
      </c>
      <c r="C572" s="10">
        <v>299.04000000000002</v>
      </c>
      <c r="D572" s="10">
        <v>299.04000000000002</v>
      </c>
      <c r="E572" s="10">
        <v>299.04000000000002</v>
      </c>
      <c r="F572" s="10">
        <v>341.74</v>
      </c>
      <c r="G572" s="10">
        <v>299.04000000000002</v>
      </c>
      <c r="H572" s="10">
        <v>299.04000000000002</v>
      </c>
      <c r="I572" s="10">
        <v>564.52</v>
      </c>
      <c r="J572" s="10">
        <v>432.56</v>
      </c>
      <c r="K572" s="10">
        <v>432.56</v>
      </c>
      <c r="L572" s="10">
        <v>432.56</v>
      </c>
      <c r="M572" s="10">
        <v>432.56</v>
      </c>
      <c r="N572" s="10">
        <f t="shared" si="114"/>
        <v>4420.04</v>
      </c>
    </row>
    <row r="573" spans="1:14" x14ac:dyDescent="0.2">
      <c r="A573" s="17" t="s">
        <v>371</v>
      </c>
      <c r="B573" s="10">
        <v>0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173.19</v>
      </c>
      <c r="K573" s="10">
        <v>0</v>
      </c>
      <c r="L573" s="10">
        <v>0</v>
      </c>
      <c r="M573" s="10">
        <v>0</v>
      </c>
      <c r="N573" s="10">
        <f t="shared" si="114"/>
        <v>173.19</v>
      </c>
    </row>
    <row r="574" spans="1:14" x14ac:dyDescent="0.2">
      <c r="A574" s="17" t="s">
        <v>372</v>
      </c>
      <c r="B574" s="10">
        <v>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10</v>
      </c>
      <c r="J574" s="10">
        <v>0</v>
      </c>
      <c r="K574" s="10">
        <v>0</v>
      </c>
      <c r="L574" s="10">
        <v>0</v>
      </c>
      <c r="M574" s="10">
        <v>0</v>
      </c>
      <c r="N574" s="10">
        <f t="shared" si="114"/>
        <v>10</v>
      </c>
    </row>
    <row r="575" spans="1:14" x14ac:dyDescent="0.2">
      <c r="A575" s="17" t="s">
        <v>373</v>
      </c>
      <c r="B575" s="10">
        <v>0</v>
      </c>
      <c r="C575" s="10">
        <v>0</v>
      </c>
      <c r="D575" s="10">
        <v>864.7</v>
      </c>
      <c r="E575" s="10">
        <v>0</v>
      </c>
      <c r="F575" s="10">
        <v>0</v>
      </c>
      <c r="G575" s="10">
        <v>0</v>
      </c>
      <c r="H575" s="10">
        <v>0</v>
      </c>
      <c r="I575" s="10">
        <v>513.77</v>
      </c>
      <c r="J575" s="10">
        <v>83.76</v>
      </c>
      <c r="K575" s="10">
        <v>83.76</v>
      </c>
      <c r="L575" s="10">
        <v>0</v>
      </c>
      <c r="M575" s="10">
        <v>0</v>
      </c>
      <c r="N575" s="10">
        <f t="shared" si="114"/>
        <v>1545.99</v>
      </c>
    </row>
    <row r="576" spans="1:14" ht="4.95" customHeight="1" x14ac:dyDescent="0.2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 ht="4.95" customHeight="1" x14ac:dyDescent="0.2"/>
    <row r="578" spans="1:14" x14ac:dyDescent="0.2">
      <c r="A578" s="16" t="s">
        <v>137</v>
      </c>
      <c r="B578" s="9">
        <f t="shared" ref="B578:N578" si="115">SUM(B569:B575)</f>
        <v>1677.57</v>
      </c>
      <c r="C578" s="9">
        <f t="shared" si="115"/>
        <v>299.04000000000002</v>
      </c>
      <c r="D578" s="9">
        <f t="shared" si="115"/>
        <v>1261.17</v>
      </c>
      <c r="E578" s="9">
        <f t="shared" si="115"/>
        <v>299.04000000000002</v>
      </c>
      <c r="F578" s="9">
        <f t="shared" si="115"/>
        <v>341.74</v>
      </c>
      <c r="G578" s="9">
        <f t="shared" si="115"/>
        <v>326.09000000000003</v>
      </c>
      <c r="H578" s="9">
        <f t="shared" si="115"/>
        <v>640.83000000000004</v>
      </c>
      <c r="I578" s="9">
        <f t="shared" si="115"/>
        <v>1088.29</v>
      </c>
      <c r="J578" s="9">
        <f t="shared" si="115"/>
        <v>689.51</v>
      </c>
      <c r="K578" s="9">
        <f t="shared" si="115"/>
        <v>516.32000000000005</v>
      </c>
      <c r="L578" s="9">
        <f t="shared" si="115"/>
        <v>432.56</v>
      </c>
      <c r="M578" s="9">
        <f t="shared" si="115"/>
        <v>432.56</v>
      </c>
      <c r="N578" s="9">
        <f t="shared" si="115"/>
        <v>8004.7199999999993</v>
      </c>
    </row>
    <row r="579" spans="1:14" ht="4.95" customHeight="1" x14ac:dyDescent="0.2"/>
    <row r="580" spans="1:14" ht="4.95" customHeight="1" x14ac:dyDescent="0.2"/>
    <row r="581" spans="1:14" x14ac:dyDescent="0.2">
      <c r="A581" s="16" t="s">
        <v>374</v>
      </c>
      <c r="B581" s="9">
        <f t="shared" ref="B581:N581" si="116">B542+B566+B578</f>
        <v>14196.84</v>
      </c>
      <c r="C581" s="9">
        <f t="shared" si="116"/>
        <v>16489.73</v>
      </c>
      <c r="D581" s="9">
        <f t="shared" si="116"/>
        <v>20012.03</v>
      </c>
      <c r="E581" s="9">
        <f t="shared" si="116"/>
        <v>18429.28</v>
      </c>
      <c r="F581" s="9">
        <f t="shared" si="116"/>
        <v>15329.890000000001</v>
      </c>
      <c r="G581" s="9">
        <f t="shared" si="116"/>
        <v>16830.5</v>
      </c>
      <c r="H581" s="9">
        <f t="shared" si="116"/>
        <v>18280.980000000003</v>
      </c>
      <c r="I581" s="9">
        <f t="shared" si="116"/>
        <v>17638.660000000003</v>
      </c>
      <c r="J581" s="9">
        <f t="shared" si="116"/>
        <v>18581.98</v>
      </c>
      <c r="K581" s="9">
        <f t="shared" si="116"/>
        <v>15534.1</v>
      </c>
      <c r="L581" s="9">
        <f t="shared" si="116"/>
        <v>18121.930000000004</v>
      </c>
      <c r="M581" s="9">
        <f t="shared" si="116"/>
        <v>12348.24</v>
      </c>
      <c r="N581" s="9">
        <f t="shared" si="116"/>
        <v>201794.16</v>
      </c>
    </row>
    <row r="582" spans="1:14" ht="4.95" customHeight="1" x14ac:dyDescent="0.2"/>
    <row r="583" spans="1:14" x14ac:dyDescent="0.2">
      <c r="A583" s="7" t="s">
        <v>375</v>
      </c>
      <c r="B583" s="9">
        <f t="shared" ref="B583:N583" si="117">B534-B581</f>
        <v>35788.61</v>
      </c>
      <c r="C583" s="9">
        <f t="shared" si="117"/>
        <v>46906.119999999995</v>
      </c>
      <c r="D583" s="9">
        <f t="shared" si="117"/>
        <v>59801.919999999998</v>
      </c>
      <c r="E583" s="9">
        <f t="shared" si="117"/>
        <v>53774.270000000004</v>
      </c>
      <c r="F583" s="9">
        <f t="shared" si="117"/>
        <v>39339.050000000003</v>
      </c>
      <c r="G583" s="9">
        <f t="shared" si="117"/>
        <v>43891.08</v>
      </c>
      <c r="H583" s="9">
        <f t="shared" si="117"/>
        <v>36994.519999999997</v>
      </c>
      <c r="I583" s="9">
        <f t="shared" si="117"/>
        <v>38893.299999999996</v>
      </c>
      <c r="J583" s="9">
        <f t="shared" si="117"/>
        <v>44438.69</v>
      </c>
      <c r="K583" s="9">
        <f t="shared" si="117"/>
        <v>43174.65</v>
      </c>
      <c r="L583" s="9">
        <f t="shared" si="117"/>
        <v>35262.26999999999</v>
      </c>
      <c r="M583" s="9">
        <f t="shared" si="117"/>
        <v>27258.760000000002</v>
      </c>
      <c r="N583" s="9">
        <f t="shared" si="117"/>
        <v>505523.24</v>
      </c>
    </row>
    <row r="584" spans="1:14" ht="4.95" customHeight="1" x14ac:dyDescent="0.2"/>
    <row r="585" spans="1:14" x14ac:dyDescent="0.2">
      <c r="A585" s="16" t="s">
        <v>335</v>
      </c>
    </row>
    <row r="586" spans="1:14" x14ac:dyDescent="0.2">
      <c r="A586" s="16" t="s">
        <v>376</v>
      </c>
    </row>
    <row r="587" spans="1:14" x14ac:dyDescent="0.2">
      <c r="A587" s="17" t="s">
        <v>377</v>
      </c>
      <c r="B587" s="18">
        <v>1357</v>
      </c>
      <c r="C587" s="18">
        <v>1814</v>
      </c>
      <c r="D587" s="18">
        <v>2148</v>
      </c>
      <c r="E587" s="18">
        <v>2416</v>
      </c>
      <c r="F587" s="18">
        <v>2579</v>
      </c>
      <c r="G587" s="18">
        <v>1659</v>
      </c>
      <c r="H587" s="18">
        <v>1775</v>
      </c>
      <c r="I587" s="18">
        <v>1647</v>
      </c>
      <c r="J587" s="18">
        <v>1974</v>
      </c>
      <c r="K587" s="18">
        <v>1776</v>
      </c>
      <c r="L587" s="18">
        <v>1536</v>
      </c>
      <c r="M587" s="18">
        <v>1141</v>
      </c>
      <c r="N587" s="18">
        <f>B587+C587+D587+E587+F587+G587+H587+I587+J587+K587+L587+M587</f>
        <v>21822</v>
      </c>
    </row>
    <row r="588" spans="1:14" x14ac:dyDescent="0.2">
      <c r="A588" s="17" t="s">
        <v>378</v>
      </c>
      <c r="B588" s="10">
        <v>15.06</v>
      </c>
      <c r="C588" s="10">
        <v>15</v>
      </c>
      <c r="D588" s="10">
        <v>15</v>
      </c>
      <c r="E588" s="10">
        <v>12.09</v>
      </c>
      <c r="F588" s="10">
        <v>8.9700000000000006</v>
      </c>
      <c r="G588" s="10">
        <v>14.6</v>
      </c>
      <c r="H588" s="10">
        <v>13.95</v>
      </c>
      <c r="I588" s="10">
        <v>14.99</v>
      </c>
      <c r="J588" s="10">
        <v>15</v>
      </c>
      <c r="K588" s="10">
        <v>15.01</v>
      </c>
      <c r="L588" s="10">
        <v>14.99</v>
      </c>
      <c r="M588" s="10">
        <v>15.04</v>
      </c>
      <c r="N588" s="10">
        <f>B588+C588+D588+E588+F588+G588+H588+I588+J588+K588+L588+M588</f>
        <v>169.7</v>
      </c>
    </row>
    <row r="589" spans="1:14" ht="4.95" customHeight="1" x14ac:dyDescent="0.2"/>
    <row r="590" spans="1:14" ht="4.95" customHeight="1" x14ac:dyDescent="0.2"/>
    <row r="591" spans="1:14" ht="4.95" customHeight="1" x14ac:dyDescent="0.2"/>
    <row r="592" spans="1:14" x14ac:dyDescent="0.2">
      <c r="A592" s="16" t="s">
        <v>379</v>
      </c>
    </row>
    <row r="594" spans="1:14" x14ac:dyDescent="0.2">
      <c r="A594" s="16" t="s">
        <v>380</v>
      </c>
    </row>
    <row r="595" spans="1:14" x14ac:dyDescent="0.2">
      <c r="A595" s="16" t="s">
        <v>381</v>
      </c>
    </row>
    <row r="596" spans="1:14" x14ac:dyDescent="0.2">
      <c r="A596" s="17" t="s">
        <v>382</v>
      </c>
      <c r="B596" s="10">
        <v>0</v>
      </c>
      <c r="C596" s="10">
        <v>0</v>
      </c>
      <c r="D596" s="10">
        <v>0</v>
      </c>
      <c r="E596" s="10">
        <v>115.95</v>
      </c>
      <c r="F596" s="10">
        <v>871.7</v>
      </c>
      <c r="G596" s="10">
        <v>608</v>
      </c>
      <c r="H596" s="10">
        <v>858.8</v>
      </c>
      <c r="I596" s="10">
        <v>550.95000000000005</v>
      </c>
      <c r="J596" s="10">
        <v>702</v>
      </c>
      <c r="K596" s="10">
        <v>684</v>
      </c>
      <c r="L596" s="10">
        <v>677</v>
      </c>
      <c r="M596" s="10">
        <v>560</v>
      </c>
      <c r="N596" s="10">
        <f>B596+C596+D596+E596+F596+G596+H596+I596+J596+K596+L596+M596</f>
        <v>5628.4</v>
      </c>
    </row>
    <row r="597" spans="1:14" x14ac:dyDescent="0.2">
      <c r="A597" s="17" t="s">
        <v>383</v>
      </c>
      <c r="B597" s="10">
        <v>0</v>
      </c>
      <c r="C597" s="10">
        <v>0</v>
      </c>
      <c r="D597" s="10">
        <v>0</v>
      </c>
      <c r="E597" s="10">
        <v>423</v>
      </c>
      <c r="F597" s="10">
        <v>700</v>
      </c>
      <c r="G597" s="10">
        <v>485.9</v>
      </c>
      <c r="H597" s="10">
        <v>678.5</v>
      </c>
      <c r="I597" s="10">
        <v>380</v>
      </c>
      <c r="J597" s="10">
        <v>476</v>
      </c>
      <c r="K597" s="10">
        <v>613.5</v>
      </c>
      <c r="L597" s="10">
        <v>423.5</v>
      </c>
      <c r="M597" s="10">
        <v>520</v>
      </c>
      <c r="N597" s="10">
        <f>B597+C597+D597+E597+F597+G597+H597+I597+J597+K597+L597+M597</f>
        <v>4700.3999999999996</v>
      </c>
    </row>
    <row r="598" spans="1:14" x14ac:dyDescent="0.2">
      <c r="A598" s="17" t="s">
        <v>384</v>
      </c>
      <c r="B598" s="10">
        <v>0</v>
      </c>
      <c r="C598" s="10">
        <v>0</v>
      </c>
      <c r="D598" s="10">
        <v>0</v>
      </c>
      <c r="E598" s="10">
        <v>719.5</v>
      </c>
      <c r="F598" s="10">
        <v>3559.98</v>
      </c>
      <c r="G598" s="10">
        <v>3326.21</v>
      </c>
      <c r="H598" s="10">
        <v>4331</v>
      </c>
      <c r="I598" s="10">
        <v>3401</v>
      </c>
      <c r="J598" s="10">
        <v>3837</v>
      </c>
      <c r="K598" s="10">
        <v>4104.8500000000004</v>
      </c>
      <c r="L598" s="10">
        <v>3529.5</v>
      </c>
      <c r="M598" s="10">
        <v>2321</v>
      </c>
      <c r="N598" s="10">
        <f>B598+C598+D598+E598+F598+G598+H598+I598+J598+K598+L598+M598</f>
        <v>29130.04</v>
      </c>
    </row>
    <row r="599" spans="1:14" ht="4.95" customHeight="1" x14ac:dyDescent="0.2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spans="1:14" ht="4.95" customHeight="1" x14ac:dyDescent="0.2"/>
    <row r="601" spans="1:14" x14ac:dyDescent="0.2">
      <c r="A601" s="16" t="s">
        <v>385</v>
      </c>
      <c r="B601" s="9">
        <f t="shared" ref="B601:N601" si="118">SUM(B596:B598)</f>
        <v>0</v>
      </c>
      <c r="C601" s="9">
        <f t="shared" si="118"/>
        <v>0</v>
      </c>
      <c r="D601" s="9">
        <f t="shared" si="118"/>
        <v>0</v>
      </c>
      <c r="E601" s="9">
        <f t="shared" si="118"/>
        <v>1258.45</v>
      </c>
      <c r="F601" s="9">
        <f t="shared" si="118"/>
        <v>5131.68</v>
      </c>
      <c r="G601" s="9">
        <f t="shared" si="118"/>
        <v>4420.1100000000006</v>
      </c>
      <c r="H601" s="9">
        <f t="shared" si="118"/>
        <v>5868.3</v>
      </c>
      <c r="I601" s="9">
        <f t="shared" si="118"/>
        <v>4331.95</v>
      </c>
      <c r="J601" s="9">
        <f t="shared" si="118"/>
        <v>5015</v>
      </c>
      <c r="K601" s="9">
        <f t="shared" si="118"/>
        <v>5402.35</v>
      </c>
      <c r="L601" s="9">
        <f t="shared" si="118"/>
        <v>4630</v>
      </c>
      <c r="M601" s="9">
        <f t="shared" si="118"/>
        <v>3401</v>
      </c>
      <c r="N601" s="9">
        <f t="shared" si="118"/>
        <v>39458.839999999997</v>
      </c>
    </row>
    <row r="602" spans="1:14" ht="4.95" customHeight="1" x14ac:dyDescent="0.2"/>
    <row r="603" spans="1:14" x14ac:dyDescent="0.2">
      <c r="A603" s="16" t="s">
        <v>386</v>
      </c>
    </row>
    <row r="604" spans="1:14" x14ac:dyDescent="0.2">
      <c r="A604" s="17" t="s">
        <v>387</v>
      </c>
      <c r="B604" s="10">
        <v>0</v>
      </c>
      <c r="C604" s="10">
        <v>0</v>
      </c>
      <c r="D604" s="10">
        <v>0</v>
      </c>
      <c r="E604" s="10">
        <v>0</v>
      </c>
      <c r="F604" s="10">
        <v>101</v>
      </c>
      <c r="G604" s="10">
        <v>150</v>
      </c>
      <c r="H604" s="10">
        <v>48</v>
      </c>
      <c r="I604" s="10">
        <v>60.5</v>
      </c>
      <c r="J604" s="10">
        <v>38.5</v>
      </c>
      <c r="K604" s="10">
        <v>144</v>
      </c>
      <c r="L604" s="10">
        <v>45.5</v>
      </c>
      <c r="M604" s="10">
        <v>79</v>
      </c>
      <c r="N604" s="10">
        <f>B604+C604+D604+E604+F604+G604+H604+I604+J604+K604+L604+M604</f>
        <v>666.5</v>
      </c>
    </row>
    <row r="605" spans="1:14" x14ac:dyDescent="0.2">
      <c r="A605" s="17" t="s">
        <v>388</v>
      </c>
      <c r="B605" s="10">
        <v>0</v>
      </c>
      <c r="C605" s="10">
        <v>0</v>
      </c>
      <c r="D605" s="10">
        <v>0</v>
      </c>
      <c r="E605" s="10">
        <v>0</v>
      </c>
      <c r="F605" s="10">
        <v>195.5</v>
      </c>
      <c r="G605" s="10">
        <v>33</v>
      </c>
      <c r="H605" s="10">
        <v>185</v>
      </c>
      <c r="I605" s="10">
        <v>144</v>
      </c>
      <c r="J605" s="10">
        <v>172</v>
      </c>
      <c r="K605" s="10">
        <v>159</v>
      </c>
      <c r="L605" s="10">
        <v>139</v>
      </c>
      <c r="M605" s="10">
        <v>34</v>
      </c>
      <c r="N605" s="10">
        <f>B605+C605+D605+E605+F605+G605+H605+I605+J605+K605+L605+M605</f>
        <v>1061.5</v>
      </c>
    </row>
    <row r="606" spans="1:14" x14ac:dyDescent="0.2">
      <c r="A606" s="17" t="s">
        <v>389</v>
      </c>
      <c r="B606" s="10">
        <v>0</v>
      </c>
      <c r="C606" s="10">
        <v>0</v>
      </c>
      <c r="D606" s="10">
        <v>0</v>
      </c>
      <c r="E606" s="10">
        <v>0</v>
      </c>
      <c r="F606" s="10">
        <v>203</v>
      </c>
      <c r="G606" s="10">
        <v>12</v>
      </c>
      <c r="H606" s="10">
        <v>70</v>
      </c>
      <c r="I606" s="10">
        <v>80</v>
      </c>
      <c r="J606" s="10">
        <v>128</v>
      </c>
      <c r="K606" s="10">
        <v>143</v>
      </c>
      <c r="L606" s="10">
        <v>30</v>
      </c>
      <c r="M606" s="10">
        <v>0</v>
      </c>
      <c r="N606" s="10">
        <f>B606+C606+D606+E606+F606+G606+H606+I606+J606+K606+L606+M606</f>
        <v>666</v>
      </c>
    </row>
    <row r="607" spans="1:14" ht="4.95" customHeight="1" x14ac:dyDescent="0.2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spans="1:14" ht="4.95" customHeight="1" x14ac:dyDescent="0.2"/>
    <row r="609" spans="1:14" x14ac:dyDescent="0.2">
      <c r="A609" s="16" t="s">
        <v>390</v>
      </c>
      <c r="B609" s="9">
        <f t="shared" ref="B609:N609" si="119">SUM(B604:B606)</f>
        <v>0</v>
      </c>
      <c r="C609" s="9">
        <f t="shared" si="119"/>
        <v>0</v>
      </c>
      <c r="D609" s="9">
        <f t="shared" si="119"/>
        <v>0</v>
      </c>
      <c r="E609" s="9">
        <f t="shared" si="119"/>
        <v>0</v>
      </c>
      <c r="F609" s="9">
        <f t="shared" si="119"/>
        <v>499.5</v>
      </c>
      <c r="G609" s="9">
        <f t="shared" si="119"/>
        <v>195</v>
      </c>
      <c r="H609" s="9">
        <f t="shared" si="119"/>
        <v>303</v>
      </c>
      <c r="I609" s="9">
        <f t="shared" si="119"/>
        <v>284.5</v>
      </c>
      <c r="J609" s="9">
        <f t="shared" si="119"/>
        <v>338.5</v>
      </c>
      <c r="K609" s="9">
        <f t="shared" si="119"/>
        <v>446</v>
      </c>
      <c r="L609" s="9">
        <f t="shared" si="119"/>
        <v>214.5</v>
      </c>
      <c r="M609" s="9">
        <f t="shared" si="119"/>
        <v>113</v>
      </c>
      <c r="N609" s="9">
        <f t="shared" si="119"/>
        <v>2394</v>
      </c>
    </row>
    <row r="610" spans="1:14" ht="4.95" customHeight="1" x14ac:dyDescent="0.2"/>
    <row r="611" spans="1:14" x14ac:dyDescent="0.2">
      <c r="A611" s="16" t="s">
        <v>391</v>
      </c>
    </row>
    <row r="612" spans="1:14" x14ac:dyDescent="0.2">
      <c r="A612" s="17" t="s">
        <v>392</v>
      </c>
      <c r="B612" s="10">
        <v>0</v>
      </c>
      <c r="C612" s="10">
        <v>0</v>
      </c>
      <c r="D612" s="10">
        <v>0</v>
      </c>
      <c r="E612" s="10">
        <v>140</v>
      </c>
      <c r="F612" s="10">
        <v>930</v>
      </c>
      <c r="G612" s="10">
        <v>835</v>
      </c>
      <c r="H612" s="10">
        <v>1050</v>
      </c>
      <c r="I612" s="10">
        <v>865</v>
      </c>
      <c r="J612" s="10">
        <v>985</v>
      </c>
      <c r="K612" s="10">
        <v>1120</v>
      </c>
      <c r="L612" s="10">
        <v>930</v>
      </c>
      <c r="M612" s="10">
        <v>710</v>
      </c>
      <c r="N612" s="10">
        <f>B612+C612+D612+E612+F612+G612+H612+I612+J612+K612+L612+M612</f>
        <v>7565</v>
      </c>
    </row>
    <row r="613" spans="1:14" ht="4.95" customHeight="1" x14ac:dyDescent="0.2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 spans="1:14" ht="4.95" customHeight="1" x14ac:dyDescent="0.2"/>
    <row r="615" spans="1:14" x14ac:dyDescent="0.2">
      <c r="A615" s="16" t="s">
        <v>393</v>
      </c>
      <c r="B615" s="9">
        <f t="shared" ref="B615:N615" si="120">B612</f>
        <v>0</v>
      </c>
      <c r="C615" s="9">
        <f t="shared" si="120"/>
        <v>0</v>
      </c>
      <c r="D615" s="9">
        <f t="shared" si="120"/>
        <v>0</v>
      </c>
      <c r="E615" s="9">
        <f t="shared" si="120"/>
        <v>140</v>
      </c>
      <c r="F615" s="9">
        <f t="shared" si="120"/>
        <v>930</v>
      </c>
      <c r="G615" s="9">
        <f t="shared" si="120"/>
        <v>835</v>
      </c>
      <c r="H615" s="9">
        <f t="shared" si="120"/>
        <v>1050</v>
      </c>
      <c r="I615" s="9">
        <f t="shared" si="120"/>
        <v>865</v>
      </c>
      <c r="J615" s="9">
        <f t="shared" si="120"/>
        <v>985</v>
      </c>
      <c r="K615" s="9">
        <f t="shared" si="120"/>
        <v>1120</v>
      </c>
      <c r="L615" s="9">
        <f t="shared" si="120"/>
        <v>930</v>
      </c>
      <c r="M615" s="9">
        <f t="shared" si="120"/>
        <v>710</v>
      </c>
      <c r="N615" s="9">
        <f t="shared" si="120"/>
        <v>7565</v>
      </c>
    </row>
    <row r="616" spans="1:14" ht="4.95" customHeight="1" x14ac:dyDescent="0.2"/>
    <row r="617" spans="1:14" ht="4.95" customHeight="1" x14ac:dyDescent="0.2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 spans="1:14" ht="4.95" customHeight="1" x14ac:dyDescent="0.2"/>
    <row r="619" spans="1:14" x14ac:dyDescent="0.2">
      <c r="A619" s="16" t="s">
        <v>394</v>
      </c>
      <c r="B619" s="9">
        <f t="shared" ref="B619:N619" si="121">B601+B609+B615</f>
        <v>0</v>
      </c>
      <c r="C619" s="9">
        <f t="shared" si="121"/>
        <v>0</v>
      </c>
      <c r="D619" s="9">
        <f t="shared" si="121"/>
        <v>0</v>
      </c>
      <c r="E619" s="9">
        <f t="shared" si="121"/>
        <v>1398.45</v>
      </c>
      <c r="F619" s="9">
        <f t="shared" si="121"/>
        <v>6561.18</v>
      </c>
      <c r="G619" s="9">
        <f t="shared" si="121"/>
        <v>5450.1100000000006</v>
      </c>
      <c r="H619" s="9">
        <f t="shared" si="121"/>
        <v>7221.3</v>
      </c>
      <c r="I619" s="9">
        <f t="shared" si="121"/>
        <v>5481.45</v>
      </c>
      <c r="J619" s="9">
        <f t="shared" si="121"/>
        <v>6338.5</v>
      </c>
      <c r="K619" s="9">
        <f t="shared" si="121"/>
        <v>6968.35</v>
      </c>
      <c r="L619" s="9">
        <f t="shared" si="121"/>
        <v>5774.5</v>
      </c>
      <c r="M619" s="9">
        <f t="shared" si="121"/>
        <v>4224</v>
      </c>
      <c r="N619" s="9">
        <f t="shared" si="121"/>
        <v>49417.84</v>
      </c>
    </row>
    <row r="621" spans="1:14" x14ac:dyDescent="0.2">
      <c r="A621" s="16" t="s">
        <v>395</v>
      </c>
    </row>
    <row r="622" spans="1:14" x14ac:dyDescent="0.2">
      <c r="A622" s="17" t="s">
        <v>396</v>
      </c>
      <c r="B622" s="10">
        <v>0</v>
      </c>
      <c r="C622" s="10">
        <v>0</v>
      </c>
      <c r="D622" s="10">
        <v>0</v>
      </c>
      <c r="E622" s="10">
        <v>314.27</v>
      </c>
      <c r="F622" s="10">
        <v>1273.6600000000001</v>
      </c>
      <c r="G622" s="10">
        <v>1023.45</v>
      </c>
      <c r="H622" s="10">
        <v>1920.36</v>
      </c>
      <c r="I622" s="10">
        <v>988.25</v>
      </c>
      <c r="J622" s="10">
        <v>1216.4000000000001</v>
      </c>
      <c r="K622" s="10">
        <v>1155.82</v>
      </c>
      <c r="L622" s="10">
        <v>1609.88</v>
      </c>
      <c r="M622" s="10">
        <v>815.03</v>
      </c>
      <c r="N622" s="10">
        <f>B622+C622+D622+E622+F622+G622+H622+I622+J622+K622+L622+M622</f>
        <v>10317.120000000001</v>
      </c>
    </row>
    <row r="623" spans="1:14" x14ac:dyDescent="0.2">
      <c r="A623" s="17" t="s">
        <v>397</v>
      </c>
      <c r="B623" s="10">
        <v>0</v>
      </c>
      <c r="C623" s="10">
        <v>0</v>
      </c>
      <c r="D623" s="10">
        <v>0</v>
      </c>
      <c r="E623" s="10">
        <v>0</v>
      </c>
      <c r="F623" s="10">
        <v>66.709999999999994</v>
      </c>
      <c r="G623" s="10">
        <v>32.71</v>
      </c>
      <c r="H623" s="10">
        <v>45.57</v>
      </c>
      <c r="I623" s="10">
        <v>52.55</v>
      </c>
      <c r="J623" s="10">
        <v>57.42</v>
      </c>
      <c r="K623" s="10">
        <v>61.79</v>
      </c>
      <c r="L623" s="10">
        <v>32.619999999999997</v>
      </c>
      <c r="M623" s="10">
        <v>15.19</v>
      </c>
      <c r="N623" s="10">
        <f>B623+C623+D623+E623+F623+G623+H623+I623+J623+K623+L623+M623</f>
        <v>364.56</v>
      </c>
    </row>
    <row r="624" spans="1:14" ht="4.95" customHeight="1" x14ac:dyDescent="0.2"/>
    <row r="625" spans="1:14" ht="4.95" customHeight="1" x14ac:dyDescent="0.2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 spans="1:14" ht="4.95" customHeight="1" x14ac:dyDescent="0.2"/>
    <row r="627" spans="1:14" x14ac:dyDescent="0.2">
      <c r="A627" s="16" t="s">
        <v>398</v>
      </c>
      <c r="B627" s="9">
        <f t="shared" ref="B627:N627" si="122">SUM(B622:B623)</f>
        <v>0</v>
      </c>
      <c r="C627" s="9">
        <f t="shared" si="122"/>
        <v>0</v>
      </c>
      <c r="D627" s="9">
        <f t="shared" si="122"/>
        <v>0</v>
      </c>
      <c r="E627" s="9">
        <f t="shared" si="122"/>
        <v>314.27</v>
      </c>
      <c r="F627" s="9">
        <f t="shared" si="122"/>
        <v>1340.3700000000001</v>
      </c>
      <c r="G627" s="9">
        <f t="shared" si="122"/>
        <v>1056.1600000000001</v>
      </c>
      <c r="H627" s="9">
        <f t="shared" si="122"/>
        <v>1965.9299999999998</v>
      </c>
      <c r="I627" s="9">
        <f t="shared" si="122"/>
        <v>1040.8</v>
      </c>
      <c r="J627" s="9">
        <f t="shared" si="122"/>
        <v>1273.8200000000002</v>
      </c>
      <c r="K627" s="9">
        <f t="shared" si="122"/>
        <v>1217.6099999999999</v>
      </c>
      <c r="L627" s="9">
        <f t="shared" si="122"/>
        <v>1642.5</v>
      </c>
      <c r="M627" s="9">
        <f t="shared" si="122"/>
        <v>830.22</v>
      </c>
      <c r="N627" s="9">
        <f t="shared" si="122"/>
        <v>10681.68</v>
      </c>
    </row>
    <row r="628" spans="1:14" ht="4.95" customHeight="1" x14ac:dyDescent="0.2"/>
    <row r="629" spans="1:14" x14ac:dyDescent="0.2">
      <c r="A629" s="16" t="s">
        <v>192</v>
      </c>
      <c r="B629" s="9">
        <f t="shared" ref="B629:N629" si="123">(B619)-(B627)</f>
        <v>0</v>
      </c>
      <c r="C629" s="9">
        <f t="shared" si="123"/>
        <v>0</v>
      </c>
      <c r="D629" s="9">
        <f t="shared" si="123"/>
        <v>0</v>
      </c>
      <c r="E629" s="9">
        <f t="shared" si="123"/>
        <v>1084.18</v>
      </c>
      <c r="F629" s="9">
        <f t="shared" si="123"/>
        <v>5220.8100000000004</v>
      </c>
      <c r="G629" s="9">
        <f t="shared" si="123"/>
        <v>4393.9500000000007</v>
      </c>
      <c r="H629" s="9">
        <f t="shared" si="123"/>
        <v>5255.3700000000008</v>
      </c>
      <c r="I629" s="9">
        <f t="shared" si="123"/>
        <v>4440.6499999999996</v>
      </c>
      <c r="J629" s="9">
        <f t="shared" si="123"/>
        <v>5064.68</v>
      </c>
      <c r="K629" s="9">
        <f t="shared" si="123"/>
        <v>5750.7400000000007</v>
      </c>
      <c r="L629" s="9">
        <f t="shared" si="123"/>
        <v>4132</v>
      </c>
      <c r="M629" s="9">
        <f t="shared" si="123"/>
        <v>3393.7799999999997</v>
      </c>
      <c r="N629" s="9">
        <f t="shared" si="123"/>
        <v>38736.159999999996</v>
      </c>
    </row>
    <row r="631" spans="1:14" x14ac:dyDescent="0.2">
      <c r="A631" s="16" t="s">
        <v>399</v>
      </c>
    </row>
    <row r="633" spans="1:14" x14ac:dyDescent="0.2">
      <c r="A633" s="16" t="s">
        <v>400</v>
      </c>
    </row>
    <row r="634" spans="1:14" x14ac:dyDescent="0.2">
      <c r="A634" s="16" t="s">
        <v>401</v>
      </c>
    </row>
    <row r="635" spans="1:14" x14ac:dyDescent="0.2">
      <c r="A635" s="17" t="s">
        <v>402</v>
      </c>
      <c r="B635" s="10">
        <v>0</v>
      </c>
      <c r="C635" s="10">
        <v>0</v>
      </c>
      <c r="D635" s="10">
        <v>0</v>
      </c>
      <c r="E635" s="10">
        <v>0</v>
      </c>
      <c r="F635" s="10">
        <v>288.33</v>
      </c>
      <c r="G635" s="10">
        <v>1046.22</v>
      </c>
      <c r="H635" s="10">
        <v>2210.5</v>
      </c>
      <c r="I635" s="10">
        <v>1768.2</v>
      </c>
      <c r="J635" s="10">
        <v>1969</v>
      </c>
      <c r="K635" s="10">
        <v>2312.65</v>
      </c>
      <c r="L635" s="10">
        <v>2483.41</v>
      </c>
      <c r="M635" s="10">
        <v>2020.43</v>
      </c>
      <c r="N635" s="10">
        <f>B635+C635+D635+E635+F635+G635+H635+I635+J635+K635+L635+M635</f>
        <v>14098.74</v>
      </c>
    </row>
    <row r="636" spans="1:14" x14ac:dyDescent="0.2">
      <c r="A636" s="16" t="s">
        <v>403</v>
      </c>
      <c r="B636" s="9">
        <f t="shared" ref="B636:N637" si="124">B635</f>
        <v>0</v>
      </c>
      <c r="C636" s="9">
        <f t="shared" si="124"/>
        <v>0</v>
      </c>
      <c r="D636" s="9">
        <f t="shared" si="124"/>
        <v>0</v>
      </c>
      <c r="E636" s="9">
        <f t="shared" si="124"/>
        <v>0</v>
      </c>
      <c r="F636" s="9">
        <f t="shared" si="124"/>
        <v>288.33</v>
      </c>
      <c r="G636" s="9">
        <f t="shared" si="124"/>
        <v>1046.22</v>
      </c>
      <c r="H636" s="9">
        <f t="shared" si="124"/>
        <v>2210.5</v>
      </c>
      <c r="I636" s="9">
        <f t="shared" si="124"/>
        <v>1768.2</v>
      </c>
      <c r="J636" s="9">
        <f t="shared" si="124"/>
        <v>1969</v>
      </c>
      <c r="K636" s="9">
        <f t="shared" si="124"/>
        <v>2312.65</v>
      </c>
      <c r="L636" s="9">
        <f t="shared" si="124"/>
        <v>2483.41</v>
      </c>
      <c r="M636" s="9">
        <f t="shared" si="124"/>
        <v>2020.43</v>
      </c>
      <c r="N636" s="9">
        <f t="shared" si="124"/>
        <v>14098.74</v>
      </c>
    </row>
    <row r="637" spans="1:14" x14ac:dyDescent="0.2">
      <c r="A637" s="16" t="s">
        <v>404</v>
      </c>
      <c r="B637" s="9">
        <f t="shared" si="124"/>
        <v>0</v>
      </c>
      <c r="C637" s="9">
        <f t="shared" si="124"/>
        <v>0</v>
      </c>
      <c r="D637" s="9">
        <f t="shared" si="124"/>
        <v>0</v>
      </c>
      <c r="E637" s="9">
        <f t="shared" si="124"/>
        <v>0</v>
      </c>
      <c r="F637" s="9">
        <f t="shared" si="124"/>
        <v>288.33</v>
      </c>
      <c r="G637" s="9">
        <f t="shared" si="124"/>
        <v>1046.22</v>
      </c>
      <c r="H637" s="9">
        <f t="shared" si="124"/>
        <v>2210.5</v>
      </c>
      <c r="I637" s="9">
        <f t="shared" si="124"/>
        <v>1768.2</v>
      </c>
      <c r="J637" s="9">
        <f t="shared" si="124"/>
        <v>1969</v>
      </c>
      <c r="K637" s="9">
        <f t="shared" si="124"/>
        <v>2312.65</v>
      </c>
      <c r="L637" s="9">
        <f t="shared" si="124"/>
        <v>2483.41</v>
      </c>
      <c r="M637" s="9">
        <f t="shared" si="124"/>
        <v>2020.43</v>
      </c>
      <c r="N637" s="9">
        <f t="shared" si="124"/>
        <v>14098.74</v>
      </c>
    </row>
    <row r="639" spans="1:14" x14ac:dyDescent="0.2">
      <c r="A639" s="16" t="s">
        <v>405</v>
      </c>
    </row>
    <row r="640" spans="1:14" x14ac:dyDescent="0.2">
      <c r="A640" s="17" t="s">
        <v>406</v>
      </c>
      <c r="B640" s="10">
        <v>0</v>
      </c>
      <c r="C640" s="10">
        <v>0</v>
      </c>
      <c r="D640" s="10">
        <v>0</v>
      </c>
      <c r="E640" s="10">
        <v>0</v>
      </c>
      <c r="F640" s="10">
        <v>20.8</v>
      </c>
      <c r="G640" s="10">
        <v>84.69</v>
      </c>
      <c r="H640" s="10">
        <v>157.99</v>
      </c>
      <c r="I640" s="10">
        <v>135.69</v>
      </c>
      <c r="J640" s="10">
        <v>229.22</v>
      </c>
      <c r="K640" s="10">
        <v>163.01</v>
      </c>
      <c r="L640" s="10">
        <v>200.06</v>
      </c>
      <c r="M640" s="10">
        <v>145.56</v>
      </c>
      <c r="N640" s="10">
        <f>B640+C640+D640+E640+F640+G640+H640+I640+J640+K640+L640+M640</f>
        <v>1137.02</v>
      </c>
    </row>
    <row r="641" spans="1:14" x14ac:dyDescent="0.2">
      <c r="A641" s="17" t="s">
        <v>407</v>
      </c>
      <c r="B641" s="10">
        <v>0</v>
      </c>
      <c r="C641" s="10">
        <v>0</v>
      </c>
      <c r="D641" s="10">
        <v>0</v>
      </c>
      <c r="E641" s="10">
        <v>0</v>
      </c>
      <c r="F641" s="10">
        <v>2.0499999999999998</v>
      </c>
      <c r="G641" s="10">
        <v>7.63</v>
      </c>
      <c r="H641" s="10">
        <v>15.56</v>
      </c>
      <c r="I641" s="10">
        <v>10.32</v>
      </c>
      <c r="J641" s="10">
        <v>10.93</v>
      </c>
      <c r="K641" s="10">
        <v>11.36</v>
      </c>
      <c r="L641" s="10">
        <v>13.69</v>
      </c>
      <c r="M641" s="10">
        <v>10.93</v>
      </c>
      <c r="N641" s="10">
        <f>B641+C641+D641+E641+F641+G641+H641+I641+J641+K641+L641+M641</f>
        <v>82.47</v>
      </c>
    </row>
    <row r="642" spans="1:14" x14ac:dyDescent="0.2">
      <c r="A642" s="17" t="s">
        <v>408</v>
      </c>
      <c r="B642" s="10">
        <v>0</v>
      </c>
      <c r="C642" s="10">
        <v>0</v>
      </c>
      <c r="D642" s="10">
        <v>0</v>
      </c>
      <c r="E642" s="10">
        <v>0</v>
      </c>
      <c r="F642" s="10">
        <v>6.22</v>
      </c>
      <c r="G642" s="10">
        <v>21.11</v>
      </c>
      <c r="H642" s="10">
        <v>57.57</v>
      </c>
      <c r="I642" s="10">
        <v>41.8</v>
      </c>
      <c r="J642" s="10">
        <v>27.44</v>
      </c>
      <c r="K642" s="10">
        <v>60.09</v>
      </c>
      <c r="L642" s="10">
        <v>61.83</v>
      </c>
      <c r="M642" s="10">
        <v>51.42</v>
      </c>
      <c r="N642" s="10">
        <f>B642+C642+D642+E642+F642+G642+H642+I642+J642+K642+L642+M642</f>
        <v>327.48</v>
      </c>
    </row>
    <row r="643" spans="1:14" x14ac:dyDescent="0.2">
      <c r="A643" s="17" t="s">
        <v>409</v>
      </c>
      <c r="B643" s="10">
        <v>0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240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f>B643+C643+D643+E643+F643+G643+H643+I643+J643+K643+L643+M643</f>
        <v>240</v>
      </c>
    </row>
    <row r="644" spans="1:14" x14ac:dyDescent="0.2">
      <c r="A644" s="17" t="s">
        <v>410</v>
      </c>
      <c r="B644" s="10">
        <v>0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90.75</v>
      </c>
      <c r="I644" s="10">
        <v>0</v>
      </c>
      <c r="J644" s="10">
        <v>98.73</v>
      </c>
      <c r="K644" s="10">
        <v>0</v>
      </c>
      <c r="L644" s="10">
        <v>91.16</v>
      </c>
      <c r="M644" s="10">
        <v>0</v>
      </c>
      <c r="N644" s="10">
        <f>B644+C644+D644+E644+F644+G644+H644+I644+J644+K644+L644+M644</f>
        <v>280.64</v>
      </c>
    </row>
    <row r="645" spans="1:14" x14ac:dyDescent="0.2">
      <c r="A645" s="16" t="s">
        <v>411</v>
      </c>
      <c r="B645" s="9">
        <f t="shared" ref="B645:N645" si="125">SUM(B640:B644)</f>
        <v>0</v>
      </c>
      <c r="C645" s="9">
        <f t="shared" si="125"/>
        <v>0</v>
      </c>
      <c r="D645" s="9">
        <f t="shared" si="125"/>
        <v>0</v>
      </c>
      <c r="E645" s="9">
        <f t="shared" si="125"/>
        <v>0</v>
      </c>
      <c r="F645" s="9">
        <f t="shared" si="125"/>
        <v>29.07</v>
      </c>
      <c r="G645" s="9">
        <f t="shared" si="125"/>
        <v>113.42999999999999</v>
      </c>
      <c r="H645" s="9">
        <f t="shared" si="125"/>
        <v>561.87</v>
      </c>
      <c r="I645" s="9">
        <f t="shared" si="125"/>
        <v>187.81</v>
      </c>
      <c r="J645" s="9">
        <f t="shared" si="125"/>
        <v>366.32000000000005</v>
      </c>
      <c r="K645" s="9">
        <f t="shared" si="125"/>
        <v>234.46</v>
      </c>
      <c r="L645" s="9">
        <f t="shared" si="125"/>
        <v>366.74</v>
      </c>
      <c r="M645" s="9">
        <f t="shared" si="125"/>
        <v>207.91000000000003</v>
      </c>
      <c r="N645" s="9">
        <f t="shared" si="125"/>
        <v>2067.61</v>
      </c>
    </row>
    <row r="646" spans="1:14" ht="4.95" customHeight="1" x14ac:dyDescent="0.2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 spans="1:14" ht="4.95" customHeight="1" x14ac:dyDescent="0.2"/>
    <row r="648" spans="1:14" x14ac:dyDescent="0.2">
      <c r="A648" s="16" t="s">
        <v>412</v>
      </c>
      <c r="B648" s="9">
        <f t="shared" ref="B648:N648" si="126">B637+B645</f>
        <v>0</v>
      </c>
      <c r="C648" s="9">
        <f t="shared" si="126"/>
        <v>0</v>
      </c>
      <c r="D648" s="9">
        <f t="shared" si="126"/>
        <v>0</v>
      </c>
      <c r="E648" s="9">
        <f t="shared" si="126"/>
        <v>0</v>
      </c>
      <c r="F648" s="9">
        <f t="shared" si="126"/>
        <v>317.39999999999998</v>
      </c>
      <c r="G648" s="9">
        <f t="shared" si="126"/>
        <v>1159.6500000000001</v>
      </c>
      <c r="H648" s="9">
        <f t="shared" si="126"/>
        <v>2772.37</v>
      </c>
      <c r="I648" s="9">
        <f t="shared" si="126"/>
        <v>1956.01</v>
      </c>
      <c r="J648" s="9">
        <f t="shared" si="126"/>
        <v>2335.3200000000002</v>
      </c>
      <c r="K648" s="9">
        <f t="shared" si="126"/>
        <v>2547.11</v>
      </c>
      <c r="L648" s="9">
        <f t="shared" si="126"/>
        <v>2850.1499999999996</v>
      </c>
      <c r="M648" s="9">
        <f t="shared" si="126"/>
        <v>2228.34</v>
      </c>
      <c r="N648" s="9">
        <f t="shared" si="126"/>
        <v>16166.35</v>
      </c>
    </row>
    <row r="649" spans="1:14" ht="4.95" customHeight="1" x14ac:dyDescent="0.2"/>
    <row r="650" spans="1:14" ht="4.95" customHeight="1" x14ac:dyDescent="0.2"/>
    <row r="651" spans="1:14" x14ac:dyDescent="0.2">
      <c r="A651" s="16" t="s">
        <v>413</v>
      </c>
      <c r="B651" s="9">
        <f t="shared" ref="B651:N651" si="127">B627+B648</f>
        <v>0</v>
      </c>
      <c r="C651" s="9">
        <f t="shared" si="127"/>
        <v>0</v>
      </c>
      <c r="D651" s="9">
        <f t="shared" si="127"/>
        <v>0</v>
      </c>
      <c r="E651" s="9">
        <f t="shared" si="127"/>
        <v>314.27</v>
      </c>
      <c r="F651" s="9">
        <f t="shared" si="127"/>
        <v>1657.77</v>
      </c>
      <c r="G651" s="9">
        <f t="shared" si="127"/>
        <v>2215.8100000000004</v>
      </c>
      <c r="H651" s="9">
        <f t="shared" si="127"/>
        <v>4738.2999999999993</v>
      </c>
      <c r="I651" s="9">
        <f t="shared" si="127"/>
        <v>2996.81</v>
      </c>
      <c r="J651" s="9">
        <f t="shared" si="127"/>
        <v>3609.1400000000003</v>
      </c>
      <c r="K651" s="9">
        <f t="shared" si="127"/>
        <v>3764.7200000000003</v>
      </c>
      <c r="L651" s="9">
        <f t="shared" si="127"/>
        <v>4492.6499999999996</v>
      </c>
      <c r="M651" s="9">
        <f t="shared" si="127"/>
        <v>3058.5600000000004</v>
      </c>
      <c r="N651" s="9">
        <f t="shared" si="127"/>
        <v>26848.03</v>
      </c>
    </row>
    <row r="652" spans="1:14" ht="4.95" customHeight="1" x14ac:dyDescent="0.2"/>
    <row r="653" spans="1:14" x14ac:dyDescent="0.2">
      <c r="A653" s="7" t="s">
        <v>414</v>
      </c>
      <c r="B653" s="9">
        <f t="shared" ref="B653:N653" si="128">B619-B651</f>
        <v>0</v>
      </c>
      <c r="C653" s="9">
        <f t="shared" si="128"/>
        <v>0</v>
      </c>
      <c r="D653" s="9">
        <f t="shared" si="128"/>
        <v>0</v>
      </c>
      <c r="E653" s="9">
        <f t="shared" si="128"/>
        <v>1084.18</v>
      </c>
      <c r="F653" s="9">
        <f t="shared" si="128"/>
        <v>4903.41</v>
      </c>
      <c r="G653" s="9">
        <f t="shared" si="128"/>
        <v>3234.3</v>
      </c>
      <c r="H653" s="9">
        <f t="shared" si="128"/>
        <v>2483.0000000000009</v>
      </c>
      <c r="I653" s="9">
        <f t="shared" si="128"/>
        <v>2484.64</v>
      </c>
      <c r="J653" s="9">
        <f t="shared" si="128"/>
        <v>2729.3599999999997</v>
      </c>
      <c r="K653" s="9">
        <f t="shared" si="128"/>
        <v>3203.63</v>
      </c>
      <c r="L653" s="9">
        <f t="shared" si="128"/>
        <v>1281.8500000000004</v>
      </c>
      <c r="M653" s="9">
        <f t="shared" si="128"/>
        <v>1165.4399999999996</v>
      </c>
      <c r="N653" s="9">
        <f t="shared" si="128"/>
        <v>22569.809999999998</v>
      </c>
    </row>
    <row r="654" spans="1:14" ht="4.95" customHeight="1" x14ac:dyDescent="0.2"/>
    <row r="655" spans="1:14" x14ac:dyDescent="0.2">
      <c r="A655" s="16" t="s">
        <v>379</v>
      </c>
    </row>
    <row r="656" spans="1:14" x14ac:dyDescent="0.2">
      <c r="A656" s="16" t="s">
        <v>415</v>
      </c>
    </row>
    <row r="657" spans="1:14" x14ac:dyDescent="0.2">
      <c r="A657" s="17" t="s">
        <v>416</v>
      </c>
      <c r="B657" s="18">
        <v>0</v>
      </c>
      <c r="C657" s="18">
        <v>0</v>
      </c>
      <c r="D657" s="18">
        <v>0</v>
      </c>
      <c r="E657" s="18">
        <v>4</v>
      </c>
      <c r="F657" s="18">
        <v>40</v>
      </c>
      <c r="G657" s="18">
        <v>24</v>
      </c>
      <c r="H657" s="18">
        <v>29</v>
      </c>
      <c r="I657" s="18">
        <v>24</v>
      </c>
      <c r="J657" s="18">
        <v>29</v>
      </c>
      <c r="K657" s="18">
        <v>32</v>
      </c>
      <c r="L657" s="18">
        <v>28</v>
      </c>
      <c r="M657" s="18">
        <v>21</v>
      </c>
      <c r="N657" s="18">
        <f t="shared" ref="N657:N662" si="129">B657+C657+D657+E657+F657+G657+H657+I657+J657+K657+L657+M657</f>
        <v>231</v>
      </c>
    </row>
    <row r="658" spans="1:14" x14ac:dyDescent="0.2">
      <c r="A658" s="17" t="s">
        <v>417</v>
      </c>
      <c r="B658" s="10">
        <v>0</v>
      </c>
      <c r="C658" s="10">
        <v>0</v>
      </c>
      <c r="D658" s="10">
        <v>0</v>
      </c>
      <c r="E658" s="10">
        <v>28.99</v>
      </c>
      <c r="F658" s="10">
        <v>21.79</v>
      </c>
      <c r="G658" s="10">
        <v>25.33</v>
      </c>
      <c r="H658" s="10">
        <v>29.61</v>
      </c>
      <c r="I658" s="10">
        <v>22.96</v>
      </c>
      <c r="J658" s="10">
        <v>24.21</v>
      </c>
      <c r="K658" s="10">
        <v>21.38</v>
      </c>
      <c r="L658" s="10">
        <v>24.18</v>
      </c>
      <c r="M658" s="10">
        <v>26.67</v>
      </c>
      <c r="N658" s="10">
        <f t="shared" si="129"/>
        <v>225.12</v>
      </c>
    </row>
    <row r="659" spans="1:14" x14ac:dyDescent="0.2">
      <c r="A659" s="17" t="s">
        <v>418</v>
      </c>
      <c r="B659" s="18">
        <v>0</v>
      </c>
      <c r="C659" s="18">
        <v>0</v>
      </c>
      <c r="D659" s="18">
        <v>0</v>
      </c>
      <c r="E659" s="18">
        <v>25</v>
      </c>
      <c r="F659" s="18">
        <v>146</v>
      </c>
      <c r="G659" s="18">
        <v>133</v>
      </c>
      <c r="H659" s="18">
        <v>164</v>
      </c>
      <c r="I659" s="18">
        <v>140</v>
      </c>
      <c r="J659" s="18">
        <v>156</v>
      </c>
      <c r="K659" s="18">
        <v>171</v>
      </c>
      <c r="L659" s="18">
        <v>148</v>
      </c>
      <c r="M659" s="18">
        <v>100</v>
      </c>
      <c r="N659" s="18">
        <f t="shared" si="129"/>
        <v>1183</v>
      </c>
    </row>
    <row r="660" spans="1:14" x14ac:dyDescent="0.2">
      <c r="A660" s="17" t="s">
        <v>419</v>
      </c>
      <c r="B660" s="10">
        <v>0</v>
      </c>
      <c r="C660" s="10">
        <v>0</v>
      </c>
      <c r="D660" s="10">
        <v>0</v>
      </c>
      <c r="E660" s="10">
        <v>28.78</v>
      </c>
      <c r="F660" s="10">
        <v>24.38</v>
      </c>
      <c r="G660" s="10">
        <v>25.01</v>
      </c>
      <c r="H660" s="10">
        <v>26.41</v>
      </c>
      <c r="I660" s="10">
        <v>24.29</v>
      </c>
      <c r="J660" s="10">
        <v>24.6</v>
      </c>
      <c r="K660" s="10">
        <v>24</v>
      </c>
      <c r="L660" s="10">
        <v>23.85</v>
      </c>
      <c r="M660" s="10">
        <v>23.21</v>
      </c>
      <c r="N660" s="10">
        <f t="shared" si="129"/>
        <v>224.53</v>
      </c>
    </row>
    <row r="661" spans="1:14" x14ac:dyDescent="0.2">
      <c r="A661" s="17" t="s">
        <v>420</v>
      </c>
      <c r="B661" s="18">
        <v>0</v>
      </c>
      <c r="C661" s="18">
        <v>0</v>
      </c>
      <c r="D661" s="18">
        <v>0</v>
      </c>
      <c r="E661" s="18">
        <v>8</v>
      </c>
      <c r="F661" s="18">
        <v>19</v>
      </c>
      <c r="G661" s="18">
        <v>18</v>
      </c>
      <c r="H661" s="18">
        <v>29</v>
      </c>
      <c r="I661" s="18">
        <v>16</v>
      </c>
      <c r="J661" s="18">
        <v>20</v>
      </c>
      <c r="K661" s="18">
        <v>30</v>
      </c>
      <c r="L661" s="18">
        <v>17</v>
      </c>
      <c r="M661" s="18">
        <v>23</v>
      </c>
      <c r="N661" s="18">
        <f t="shared" si="129"/>
        <v>180</v>
      </c>
    </row>
    <row r="662" spans="1:14" x14ac:dyDescent="0.2">
      <c r="A662" s="17" t="s">
        <v>421</v>
      </c>
      <c r="B662" s="10">
        <v>0</v>
      </c>
      <c r="C662" s="10">
        <v>0</v>
      </c>
      <c r="D662" s="10">
        <v>0</v>
      </c>
      <c r="E662" s="10">
        <v>52.88</v>
      </c>
      <c r="F662" s="10">
        <v>36.840000000000003</v>
      </c>
      <c r="G662" s="10">
        <v>26.99</v>
      </c>
      <c r="H662" s="10">
        <v>23.4</v>
      </c>
      <c r="I662" s="10">
        <v>23.75</v>
      </c>
      <c r="J662" s="10">
        <v>23.8</v>
      </c>
      <c r="K662" s="10">
        <v>20.45</v>
      </c>
      <c r="L662" s="10">
        <v>24.91</v>
      </c>
      <c r="M662" s="10">
        <v>22.61</v>
      </c>
      <c r="N662" s="10">
        <f t="shared" si="129"/>
        <v>255.63</v>
      </c>
    </row>
    <row r="663" spans="1:14" ht="4.95" customHeight="1" x14ac:dyDescent="0.2"/>
    <row r="664" spans="1:14" ht="4.95" customHeight="1" x14ac:dyDescent="0.2"/>
    <row r="665" spans="1:14" ht="4.95" customHeight="1" x14ac:dyDescent="0.2"/>
    <row r="666" spans="1:14" x14ac:dyDescent="0.2">
      <c r="A666" s="16" t="s">
        <v>422</v>
      </c>
    </row>
    <row r="668" spans="1:14" x14ac:dyDescent="0.2">
      <c r="A668" s="16" t="s">
        <v>423</v>
      </c>
    </row>
    <row r="669" spans="1:14" x14ac:dyDescent="0.2">
      <c r="A669" s="17" t="s">
        <v>424</v>
      </c>
      <c r="B669" s="10">
        <v>4261.17</v>
      </c>
      <c r="C669" s="10">
        <v>5210.55</v>
      </c>
      <c r="D669" s="10">
        <v>8077.25</v>
      </c>
      <c r="E669" s="10">
        <v>6293.28</v>
      </c>
      <c r="F669" s="10">
        <v>4116.97</v>
      </c>
      <c r="G669" s="10">
        <v>4514.22</v>
      </c>
      <c r="H669" s="10">
        <v>5490.08</v>
      </c>
      <c r="I669" s="10">
        <v>6493.6</v>
      </c>
      <c r="J669" s="10">
        <v>7757.42</v>
      </c>
      <c r="K669" s="10">
        <v>5290.6</v>
      </c>
      <c r="L669" s="10">
        <v>4058.29</v>
      </c>
      <c r="M669" s="10">
        <v>5854.92</v>
      </c>
      <c r="N669" s="10">
        <f>B669+C669+D669+E669+F669+G669+H669+I669+J669+K669+L669+M669</f>
        <v>67418.350000000006</v>
      </c>
    </row>
    <row r="670" spans="1:14" ht="4.95" customHeight="1" x14ac:dyDescent="0.2"/>
    <row r="671" spans="1:14" ht="4.95" customHeight="1" x14ac:dyDescent="0.2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 spans="1:14" ht="4.95" customHeight="1" x14ac:dyDescent="0.2"/>
    <row r="673" spans="1:14" x14ac:dyDescent="0.2">
      <c r="A673" s="16" t="s">
        <v>425</v>
      </c>
      <c r="B673" s="9">
        <f t="shared" ref="B673:N673" si="130">B669</f>
        <v>4261.17</v>
      </c>
      <c r="C673" s="9">
        <f t="shared" si="130"/>
        <v>5210.55</v>
      </c>
      <c r="D673" s="9">
        <f t="shared" si="130"/>
        <v>8077.25</v>
      </c>
      <c r="E673" s="9">
        <f t="shared" si="130"/>
        <v>6293.28</v>
      </c>
      <c r="F673" s="9">
        <f t="shared" si="130"/>
        <v>4116.97</v>
      </c>
      <c r="G673" s="9">
        <f t="shared" si="130"/>
        <v>4514.22</v>
      </c>
      <c r="H673" s="9">
        <f t="shared" si="130"/>
        <v>5490.08</v>
      </c>
      <c r="I673" s="9">
        <f t="shared" si="130"/>
        <v>6493.6</v>
      </c>
      <c r="J673" s="9">
        <f t="shared" si="130"/>
        <v>7757.42</v>
      </c>
      <c r="K673" s="9">
        <f t="shared" si="130"/>
        <v>5290.6</v>
      </c>
      <c r="L673" s="9">
        <f t="shared" si="130"/>
        <v>4058.29</v>
      </c>
      <c r="M673" s="9">
        <f t="shared" si="130"/>
        <v>5854.92</v>
      </c>
      <c r="N673" s="9">
        <f t="shared" si="130"/>
        <v>67418.350000000006</v>
      </c>
    </row>
    <row r="675" spans="1:14" x14ac:dyDescent="0.2">
      <c r="A675" s="16" t="s">
        <v>426</v>
      </c>
    </row>
    <row r="676" spans="1:14" x14ac:dyDescent="0.2">
      <c r="A676" s="17" t="s">
        <v>427</v>
      </c>
      <c r="B676" s="10">
        <v>2881.23</v>
      </c>
      <c r="C676" s="10">
        <v>2031.64</v>
      </c>
      <c r="D676" s="10">
        <v>3043.91</v>
      </c>
      <c r="E676" s="10">
        <v>2621.62</v>
      </c>
      <c r="F676" s="10">
        <v>1985.39</v>
      </c>
      <c r="G676" s="10">
        <v>1592.26</v>
      </c>
      <c r="H676" s="10">
        <v>3519.56</v>
      </c>
      <c r="I676" s="10">
        <v>3827.76</v>
      </c>
      <c r="J676" s="10">
        <v>1450.98</v>
      </c>
      <c r="K676" s="10">
        <v>2332.83</v>
      </c>
      <c r="L676" s="10">
        <v>2686.1</v>
      </c>
      <c r="M676" s="10">
        <v>4166.75</v>
      </c>
      <c r="N676" s="10">
        <f>B676+C676+D676+E676+F676+G676+H676+I676+J676+K676+L676+M676</f>
        <v>32140.03</v>
      </c>
    </row>
    <row r="677" spans="1:14" x14ac:dyDescent="0.2">
      <c r="A677" s="17" t="s">
        <v>428</v>
      </c>
      <c r="B677" s="10">
        <v>-216.07</v>
      </c>
      <c r="C677" s="10">
        <v>-296.52999999999997</v>
      </c>
      <c r="D677" s="10">
        <v>740.54</v>
      </c>
      <c r="E677" s="10">
        <v>-204.42</v>
      </c>
      <c r="F677" s="10">
        <v>-98.88</v>
      </c>
      <c r="G677" s="10">
        <v>404.47</v>
      </c>
      <c r="H677" s="10">
        <v>-2380.96</v>
      </c>
      <c r="I677" s="10">
        <v>-46.57</v>
      </c>
      <c r="J677" s="10">
        <v>2314.0100000000002</v>
      </c>
      <c r="K677" s="10">
        <v>-840.72</v>
      </c>
      <c r="L677" s="10">
        <v>-1917.48</v>
      </c>
      <c r="M677" s="10">
        <v>497.46</v>
      </c>
      <c r="N677" s="10">
        <f>B677+C677+D677+E677+F677+G677+H677+I677+J677+K677+L677+M677</f>
        <v>-2045.1499999999996</v>
      </c>
    </row>
    <row r="678" spans="1:14" ht="4.95" customHeight="1" x14ac:dyDescent="0.2"/>
    <row r="679" spans="1:14" ht="4.95" customHeight="1" x14ac:dyDescent="0.2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 spans="1:14" ht="4.95" customHeight="1" x14ac:dyDescent="0.2"/>
    <row r="681" spans="1:14" x14ac:dyDescent="0.2">
      <c r="A681" s="16" t="s">
        <v>429</v>
      </c>
      <c r="B681" s="9">
        <f t="shared" ref="B681:N681" si="131">SUM(B676:B677)</f>
        <v>2665.16</v>
      </c>
      <c r="C681" s="9">
        <f t="shared" si="131"/>
        <v>1735.1100000000001</v>
      </c>
      <c r="D681" s="9">
        <f t="shared" si="131"/>
        <v>3784.45</v>
      </c>
      <c r="E681" s="9">
        <f t="shared" si="131"/>
        <v>2417.1999999999998</v>
      </c>
      <c r="F681" s="9">
        <f t="shared" si="131"/>
        <v>1886.5100000000002</v>
      </c>
      <c r="G681" s="9">
        <f t="shared" si="131"/>
        <v>1996.73</v>
      </c>
      <c r="H681" s="9">
        <f t="shared" si="131"/>
        <v>1138.5999999999999</v>
      </c>
      <c r="I681" s="9">
        <f t="shared" si="131"/>
        <v>3781.19</v>
      </c>
      <c r="J681" s="9">
        <f t="shared" si="131"/>
        <v>3764.9900000000002</v>
      </c>
      <c r="K681" s="9">
        <f t="shared" si="131"/>
        <v>1492.11</v>
      </c>
      <c r="L681" s="9">
        <f t="shared" si="131"/>
        <v>768.61999999999989</v>
      </c>
      <c r="M681" s="9">
        <f t="shared" si="131"/>
        <v>4664.21</v>
      </c>
      <c r="N681" s="9">
        <f t="shared" si="131"/>
        <v>30094.879999999997</v>
      </c>
    </row>
    <row r="682" spans="1:14" ht="4.95" customHeight="1" x14ac:dyDescent="0.2"/>
    <row r="683" spans="1:14" x14ac:dyDescent="0.2">
      <c r="A683" s="16" t="s">
        <v>192</v>
      </c>
      <c r="B683" s="9">
        <f t="shared" ref="B683:N683" si="132">(B673)-(B681)</f>
        <v>1596.0100000000002</v>
      </c>
      <c r="C683" s="9">
        <f t="shared" si="132"/>
        <v>3475.44</v>
      </c>
      <c r="D683" s="9">
        <f t="shared" si="132"/>
        <v>4292.8</v>
      </c>
      <c r="E683" s="9">
        <f t="shared" si="132"/>
        <v>3876.08</v>
      </c>
      <c r="F683" s="9">
        <f t="shared" si="132"/>
        <v>2230.46</v>
      </c>
      <c r="G683" s="9">
        <f t="shared" si="132"/>
        <v>2517.4900000000002</v>
      </c>
      <c r="H683" s="9">
        <f t="shared" si="132"/>
        <v>4351.4799999999996</v>
      </c>
      <c r="I683" s="9">
        <f t="shared" si="132"/>
        <v>2712.4100000000003</v>
      </c>
      <c r="J683" s="9">
        <f t="shared" si="132"/>
        <v>3992.43</v>
      </c>
      <c r="K683" s="9">
        <f t="shared" si="132"/>
        <v>3798.4900000000007</v>
      </c>
      <c r="L683" s="9">
        <f t="shared" si="132"/>
        <v>3289.67</v>
      </c>
      <c r="M683" s="9">
        <f t="shared" si="132"/>
        <v>1190.71</v>
      </c>
      <c r="N683" s="9">
        <f t="shared" si="132"/>
        <v>37323.470000000008</v>
      </c>
    </row>
    <row r="685" spans="1:14" ht="4.95" customHeight="1" x14ac:dyDescent="0.2"/>
    <row r="686" spans="1:14" x14ac:dyDescent="0.2">
      <c r="A686" s="16" t="s">
        <v>430</v>
      </c>
      <c r="B686" s="9">
        <f t="shared" ref="B686:N686" si="133">B681</f>
        <v>2665.16</v>
      </c>
      <c r="C686" s="9">
        <f t="shared" si="133"/>
        <v>1735.1100000000001</v>
      </c>
      <c r="D686" s="9">
        <f t="shared" si="133"/>
        <v>3784.45</v>
      </c>
      <c r="E686" s="9">
        <f t="shared" si="133"/>
        <v>2417.1999999999998</v>
      </c>
      <c r="F686" s="9">
        <f t="shared" si="133"/>
        <v>1886.5100000000002</v>
      </c>
      <c r="G686" s="9">
        <f t="shared" si="133"/>
        <v>1996.73</v>
      </c>
      <c r="H686" s="9">
        <f t="shared" si="133"/>
        <v>1138.5999999999999</v>
      </c>
      <c r="I686" s="9">
        <f t="shared" si="133"/>
        <v>3781.19</v>
      </c>
      <c r="J686" s="9">
        <f t="shared" si="133"/>
        <v>3764.9900000000002</v>
      </c>
      <c r="K686" s="9">
        <f t="shared" si="133"/>
        <v>1492.11</v>
      </c>
      <c r="L686" s="9">
        <f t="shared" si="133"/>
        <v>768.61999999999989</v>
      </c>
      <c r="M686" s="9">
        <f t="shared" si="133"/>
        <v>4664.21</v>
      </c>
      <c r="N686" s="9">
        <f t="shared" si="133"/>
        <v>30094.879999999997</v>
      </c>
    </row>
    <row r="687" spans="1:14" ht="4.95" customHeight="1" x14ac:dyDescent="0.2"/>
    <row r="688" spans="1:14" x14ac:dyDescent="0.2">
      <c r="A688" s="7" t="s">
        <v>431</v>
      </c>
      <c r="B688" s="9">
        <f t="shared" ref="B688:N688" si="134">B673-B686</f>
        <v>1596.0100000000002</v>
      </c>
      <c r="C688" s="9">
        <f t="shared" si="134"/>
        <v>3475.44</v>
      </c>
      <c r="D688" s="9">
        <f t="shared" si="134"/>
        <v>4292.8</v>
      </c>
      <c r="E688" s="9">
        <f t="shared" si="134"/>
        <v>3876.08</v>
      </c>
      <c r="F688" s="9">
        <f t="shared" si="134"/>
        <v>2230.46</v>
      </c>
      <c r="G688" s="9">
        <f t="shared" si="134"/>
        <v>2517.4900000000002</v>
      </c>
      <c r="H688" s="9">
        <f t="shared" si="134"/>
        <v>4351.4799999999996</v>
      </c>
      <c r="I688" s="9">
        <f t="shared" si="134"/>
        <v>2712.4100000000003</v>
      </c>
      <c r="J688" s="9">
        <f t="shared" si="134"/>
        <v>3992.43</v>
      </c>
      <c r="K688" s="9">
        <f t="shared" si="134"/>
        <v>3798.4900000000007</v>
      </c>
      <c r="L688" s="9">
        <f t="shared" si="134"/>
        <v>3289.67</v>
      </c>
      <c r="M688" s="9">
        <f t="shared" si="134"/>
        <v>1190.71</v>
      </c>
      <c r="N688" s="9">
        <f t="shared" si="134"/>
        <v>37323.470000000008</v>
      </c>
    </row>
    <row r="689" spans="1:14" ht="4.95" customHeight="1" x14ac:dyDescent="0.2"/>
    <row r="690" spans="1:14" x14ac:dyDescent="0.2">
      <c r="A690" s="16" t="s">
        <v>432</v>
      </c>
    </row>
    <row r="692" spans="1:14" x14ac:dyDescent="0.2">
      <c r="A692" s="16" t="s">
        <v>433</v>
      </c>
    </row>
    <row r="693" spans="1:14" x14ac:dyDescent="0.2">
      <c r="A693" s="17" t="s">
        <v>434</v>
      </c>
      <c r="B693" s="10">
        <v>199</v>
      </c>
      <c r="C693" s="10">
        <v>443.6</v>
      </c>
      <c r="D693" s="10">
        <v>723</v>
      </c>
      <c r="E693" s="10">
        <v>937.65</v>
      </c>
      <c r="F693" s="10">
        <v>486.15</v>
      </c>
      <c r="G693" s="10">
        <v>375</v>
      </c>
      <c r="H693" s="10">
        <v>326.70999999999998</v>
      </c>
      <c r="I693" s="10">
        <v>350.7</v>
      </c>
      <c r="J693" s="10">
        <v>357.94</v>
      </c>
      <c r="K693" s="10">
        <v>104.1</v>
      </c>
      <c r="L693" s="10">
        <v>261.10000000000002</v>
      </c>
      <c r="M693" s="10">
        <v>137.4</v>
      </c>
      <c r="N693" s="10">
        <f>B693+C693+D693+E693+F693+G693+H693+I693+J693+K693+L693+M693</f>
        <v>4702.3500000000004</v>
      </c>
    </row>
    <row r="694" spans="1:14" x14ac:dyDescent="0.2">
      <c r="A694" s="17" t="s">
        <v>435</v>
      </c>
      <c r="B694" s="10">
        <v>1152.32</v>
      </c>
      <c r="C694" s="10">
        <v>692.45</v>
      </c>
      <c r="D694" s="10">
        <v>1177.25</v>
      </c>
      <c r="E694" s="10">
        <v>756.3</v>
      </c>
      <c r="F694" s="10">
        <v>1169.7</v>
      </c>
      <c r="G694" s="10">
        <v>909.98</v>
      </c>
      <c r="H694" s="10">
        <v>730.33</v>
      </c>
      <c r="I694" s="10">
        <v>532.32000000000005</v>
      </c>
      <c r="J694" s="10">
        <v>584.29</v>
      </c>
      <c r="K694" s="10">
        <v>458.74</v>
      </c>
      <c r="L694" s="10">
        <v>511.8</v>
      </c>
      <c r="M694" s="10">
        <v>307.27</v>
      </c>
      <c r="N694" s="10">
        <f>B694+C694+D694+E694+F694+G694+H694+I694+J694+K694+L694+M694</f>
        <v>8982.75</v>
      </c>
    </row>
    <row r="695" spans="1:14" x14ac:dyDescent="0.2">
      <c r="A695" s="17" t="s">
        <v>436</v>
      </c>
      <c r="B695" s="10">
        <v>57030.32</v>
      </c>
      <c r="C695" s="10">
        <v>71280.820000000007</v>
      </c>
      <c r="D695" s="10">
        <v>99975.06</v>
      </c>
      <c r="E695" s="10">
        <v>80672.03</v>
      </c>
      <c r="F695" s="10">
        <v>69378.289999999994</v>
      </c>
      <c r="G695" s="10">
        <v>90489.34</v>
      </c>
      <c r="H695" s="10">
        <v>92892.97</v>
      </c>
      <c r="I695" s="10">
        <v>96298.06</v>
      </c>
      <c r="J695" s="10">
        <v>114222.59</v>
      </c>
      <c r="K695" s="10">
        <v>80089.7</v>
      </c>
      <c r="L695" s="10">
        <v>79377.649999999994</v>
      </c>
      <c r="M695" s="10">
        <v>66393.27</v>
      </c>
      <c r="N695" s="10">
        <f>B695+C695+D695+E695+F695+G695+H695+I695+J695+K695+L695+M695</f>
        <v>998100.09999999986</v>
      </c>
    </row>
    <row r="696" spans="1:14" ht="4.95" customHeight="1" x14ac:dyDescent="0.2"/>
    <row r="697" spans="1:14" ht="4.95" customHeight="1" x14ac:dyDescent="0.2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 spans="1:14" ht="4.95" customHeight="1" x14ac:dyDescent="0.2"/>
    <row r="699" spans="1:14" x14ac:dyDescent="0.2">
      <c r="A699" s="16" t="s">
        <v>437</v>
      </c>
      <c r="B699" s="9">
        <f t="shared" ref="B699:N699" si="135">SUM(B693:B695)</f>
        <v>58381.64</v>
      </c>
      <c r="C699" s="9">
        <f t="shared" si="135"/>
        <v>72416.87000000001</v>
      </c>
      <c r="D699" s="9">
        <f t="shared" si="135"/>
        <v>101875.31</v>
      </c>
      <c r="E699" s="9">
        <f t="shared" si="135"/>
        <v>82365.98</v>
      </c>
      <c r="F699" s="9">
        <f t="shared" si="135"/>
        <v>71034.14</v>
      </c>
      <c r="G699" s="9">
        <f t="shared" si="135"/>
        <v>91774.319999999992</v>
      </c>
      <c r="H699" s="9">
        <f t="shared" si="135"/>
        <v>93950.01</v>
      </c>
      <c r="I699" s="9">
        <f t="shared" si="135"/>
        <v>97181.08</v>
      </c>
      <c r="J699" s="9">
        <f t="shared" si="135"/>
        <v>115164.81999999999</v>
      </c>
      <c r="K699" s="9">
        <f t="shared" si="135"/>
        <v>80652.539999999994</v>
      </c>
      <c r="L699" s="9">
        <f t="shared" si="135"/>
        <v>80150.549999999988</v>
      </c>
      <c r="M699" s="9">
        <f t="shared" si="135"/>
        <v>66837.94</v>
      </c>
      <c r="N699" s="9">
        <f t="shared" si="135"/>
        <v>1011785.1999999998</v>
      </c>
    </row>
    <row r="701" spans="1:14" x14ac:dyDescent="0.2">
      <c r="A701" s="16" t="s">
        <v>438</v>
      </c>
    </row>
    <row r="702" spans="1:14" x14ac:dyDescent="0.2">
      <c r="A702" s="17" t="s">
        <v>439</v>
      </c>
      <c r="B702" s="10">
        <v>228.34</v>
      </c>
      <c r="C702" s="10">
        <v>328.45</v>
      </c>
      <c r="D702" s="10">
        <v>897.6</v>
      </c>
      <c r="E702" s="10">
        <v>465.4</v>
      </c>
      <c r="F702" s="10">
        <v>282.75</v>
      </c>
      <c r="G702" s="10">
        <v>228.15</v>
      </c>
      <c r="H702" s="10">
        <v>249.47</v>
      </c>
      <c r="I702" s="10">
        <v>169.78</v>
      </c>
      <c r="J702" s="10">
        <v>244.5</v>
      </c>
      <c r="K702" s="10">
        <v>169.45</v>
      </c>
      <c r="L702" s="10">
        <v>196.94</v>
      </c>
      <c r="M702" s="10">
        <v>177.62</v>
      </c>
      <c r="N702" s="10">
        <f>B702+C702+D702+E702+F702+G702+H702+I702+J702+K702+L702+M702</f>
        <v>3638.45</v>
      </c>
    </row>
    <row r="703" spans="1:14" x14ac:dyDescent="0.2">
      <c r="A703" s="17" t="s">
        <v>440</v>
      </c>
      <c r="B703" s="10">
        <v>1134.3599999999999</v>
      </c>
      <c r="C703" s="10">
        <v>804.86</v>
      </c>
      <c r="D703" s="10">
        <v>1340.76</v>
      </c>
      <c r="E703" s="10">
        <v>666.78</v>
      </c>
      <c r="F703" s="10">
        <v>1169.3800000000001</v>
      </c>
      <c r="G703" s="10">
        <v>891.4</v>
      </c>
      <c r="H703" s="10">
        <v>1563.41</v>
      </c>
      <c r="I703" s="10">
        <v>582.04</v>
      </c>
      <c r="J703" s="10">
        <v>573.08000000000004</v>
      </c>
      <c r="K703" s="10">
        <v>495.34</v>
      </c>
      <c r="L703" s="10">
        <v>838.78</v>
      </c>
      <c r="M703" s="10">
        <v>253.06</v>
      </c>
      <c r="N703" s="10">
        <f>B703+C703+D703+E703+F703+G703+H703+I703+J703+K703+L703+M703</f>
        <v>10313.25</v>
      </c>
    </row>
    <row r="704" spans="1:14" x14ac:dyDescent="0.2">
      <c r="A704" s="17" t="s">
        <v>441</v>
      </c>
      <c r="B704" s="10">
        <v>2230.5500000000002</v>
      </c>
      <c r="C704" s="10">
        <v>2071.08</v>
      </c>
      <c r="D704" s="10">
        <v>3235.15</v>
      </c>
      <c r="E704" s="10">
        <v>3077.49</v>
      </c>
      <c r="F704" s="10">
        <v>15600.27</v>
      </c>
      <c r="G704" s="10">
        <v>13181.45</v>
      </c>
      <c r="H704" s="10">
        <v>11183.86</v>
      </c>
      <c r="I704" s="10">
        <v>13824.76</v>
      </c>
      <c r="J704" s="10">
        <v>10546.05</v>
      </c>
      <c r="K704" s="10">
        <v>8779.7999999999993</v>
      </c>
      <c r="L704" s="10">
        <v>10664.71</v>
      </c>
      <c r="M704" s="10">
        <v>11896.12</v>
      </c>
      <c r="N704" s="10">
        <f>B704+C704+D704+E704+F704+G704+H704+I704+J704+K704+L704+M704</f>
        <v>106291.29000000001</v>
      </c>
    </row>
    <row r="705" spans="1:14" ht="4.95" customHeight="1" x14ac:dyDescent="0.2"/>
    <row r="706" spans="1:14" ht="4.95" customHeight="1" x14ac:dyDescent="0.2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 spans="1:14" ht="4.95" customHeight="1" x14ac:dyDescent="0.2"/>
    <row r="708" spans="1:14" x14ac:dyDescent="0.2">
      <c r="A708" s="16" t="s">
        <v>442</v>
      </c>
      <c r="B708" s="9">
        <f t="shared" ref="B708:N708" si="136">SUM(B702:B704)</f>
        <v>3593.25</v>
      </c>
      <c r="C708" s="9">
        <f t="shared" si="136"/>
        <v>3204.39</v>
      </c>
      <c r="D708" s="9">
        <f t="shared" si="136"/>
        <v>5473.51</v>
      </c>
      <c r="E708" s="9">
        <f t="shared" si="136"/>
        <v>4209.67</v>
      </c>
      <c r="F708" s="9">
        <f t="shared" si="136"/>
        <v>17052.400000000001</v>
      </c>
      <c r="G708" s="9">
        <f t="shared" si="136"/>
        <v>14301</v>
      </c>
      <c r="H708" s="9">
        <f t="shared" si="136"/>
        <v>12996.740000000002</v>
      </c>
      <c r="I708" s="9">
        <f t="shared" si="136"/>
        <v>14576.58</v>
      </c>
      <c r="J708" s="9">
        <f t="shared" si="136"/>
        <v>11363.63</v>
      </c>
      <c r="K708" s="9">
        <f t="shared" si="136"/>
        <v>9444.59</v>
      </c>
      <c r="L708" s="9">
        <f t="shared" si="136"/>
        <v>11700.429999999998</v>
      </c>
      <c r="M708" s="9">
        <f t="shared" si="136"/>
        <v>12326.800000000001</v>
      </c>
      <c r="N708" s="9">
        <f t="shared" si="136"/>
        <v>120242.99</v>
      </c>
    </row>
    <row r="709" spans="1:14" ht="4.95" customHeight="1" x14ac:dyDescent="0.2"/>
    <row r="711" spans="1:14" x14ac:dyDescent="0.2">
      <c r="A711" s="16" t="s">
        <v>443</v>
      </c>
    </row>
    <row r="712" spans="1:14" x14ac:dyDescent="0.2">
      <c r="A712" s="16" t="s">
        <v>444</v>
      </c>
    </row>
    <row r="713" spans="1:14" x14ac:dyDescent="0.2">
      <c r="A713" s="17" t="s">
        <v>444</v>
      </c>
      <c r="B713" s="10">
        <f t="shared" ref="B713:N713" si="137">B693-B702</f>
        <v>-29.340000000000003</v>
      </c>
      <c r="C713" s="10">
        <f t="shared" si="137"/>
        <v>115.15000000000003</v>
      </c>
      <c r="D713" s="10">
        <f t="shared" si="137"/>
        <v>-174.60000000000002</v>
      </c>
      <c r="E713" s="10">
        <f t="shared" si="137"/>
        <v>472.25</v>
      </c>
      <c r="F713" s="10">
        <f t="shared" si="137"/>
        <v>203.39999999999998</v>
      </c>
      <c r="G713" s="10">
        <f t="shared" si="137"/>
        <v>146.85</v>
      </c>
      <c r="H713" s="10">
        <f t="shared" si="137"/>
        <v>77.239999999999981</v>
      </c>
      <c r="I713" s="10">
        <f t="shared" si="137"/>
        <v>180.92</v>
      </c>
      <c r="J713" s="10">
        <f t="shared" si="137"/>
        <v>113.44</v>
      </c>
      <c r="K713" s="10">
        <f t="shared" si="137"/>
        <v>-65.349999999999994</v>
      </c>
      <c r="L713" s="10">
        <f t="shared" si="137"/>
        <v>64.160000000000025</v>
      </c>
      <c r="M713" s="10">
        <f t="shared" si="137"/>
        <v>-40.22</v>
      </c>
      <c r="N713" s="10">
        <f t="shared" si="137"/>
        <v>1063.9000000000005</v>
      </c>
    </row>
    <row r="714" spans="1:14" x14ac:dyDescent="0.2">
      <c r="A714" s="16" t="s">
        <v>445</v>
      </c>
    </row>
    <row r="715" spans="1:14" x14ac:dyDescent="0.2">
      <c r="A715" s="17" t="s">
        <v>445</v>
      </c>
      <c r="B715" s="10">
        <f t="shared" ref="B715:N715" si="138">B694-B703</f>
        <v>17.960000000000036</v>
      </c>
      <c r="C715" s="10">
        <f t="shared" si="138"/>
        <v>-112.40999999999997</v>
      </c>
      <c r="D715" s="10">
        <f t="shared" si="138"/>
        <v>-163.51</v>
      </c>
      <c r="E715" s="10">
        <f t="shared" si="138"/>
        <v>89.519999999999982</v>
      </c>
      <c r="F715" s="10">
        <f t="shared" si="138"/>
        <v>0.31999999999993634</v>
      </c>
      <c r="G715" s="10">
        <f t="shared" si="138"/>
        <v>18.580000000000041</v>
      </c>
      <c r="H715" s="10">
        <f t="shared" si="138"/>
        <v>-833.08</v>
      </c>
      <c r="I715" s="10">
        <f t="shared" si="138"/>
        <v>-49.719999999999914</v>
      </c>
      <c r="J715" s="10">
        <f t="shared" si="138"/>
        <v>11.209999999999923</v>
      </c>
      <c r="K715" s="10">
        <f t="shared" si="138"/>
        <v>-36.599999999999966</v>
      </c>
      <c r="L715" s="10">
        <f t="shared" si="138"/>
        <v>-326.97999999999996</v>
      </c>
      <c r="M715" s="10">
        <f t="shared" si="138"/>
        <v>54.20999999999998</v>
      </c>
      <c r="N715" s="10">
        <f t="shared" si="138"/>
        <v>-1330.5</v>
      </c>
    </row>
    <row r="716" spans="1:14" x14ac:dyDescent="0.2">
      <c r="A716" s="16" t="s">
        <v>446</v>
      </c>
    </row>
    <row r="717" spans="1:14" x14ac:dyDescent="0.2">
      <c r="A717" s="17" t="s">
        <v>446</v>
      </c>
      <c r="B717" s="10">
        <f t="shared" ref="B717:N717" si="139">B695-B704</f>
        <v>54799.77</v>
      </c>
      <c r="C717" s="10">
        <f t="shared" si="139"/>
        <v>69209.740000000005</v>
      </c>
      <c r="D717" s="10">
        <f t="shared" si="139"/>
        <v>96739.91</v>
      </c>
      <c r="E717" s="10">
        <f t="shared" si="139"/>
        <v>77594.539999999994</v>
      </c>
      <c r="F717" s="10">
        <f t="shared" si="139"/>
        <v>53778.01999999999</v>
      </c>
      <c r="G717" s="10">
        <f t="shared" si="139"/>
        <v>77307.89</v>
      </c>
      <c r="H717" s="10">
        <f t="shared" si="139"/>
        <v>81709.11</v>
      </c>
      <c r="I717" s="10">
        <f t="shared" si="139"/>
        <v>82473.3</v>
      </c>
      <c r="J717" s="10">
        <f t="shared" si="139"/>
        <v>103676.54</v>
      </c>
      <c r="K717" s="10">
        <f t="shared" si="139"/>
        <v>71309.899999999994</v>
      </c>
      <c r="L717" s="10">
        <f t="shared" si="139"/>
        <v>68712.94</v>
      </c>
      <c r="M717" s="10">
        <f t="shared" si="139"/>
        <v>54497.15</v>
      </c>
      <c r="N717" s="10">
        <f t="shared" si="139"/>
        <v>891808.80999999982</v>
      </c>
    </row>
    <row r="718" spans="1:14" ht="4.95" customHeight="1" x14ac:dyDescent="0.2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 spans="1:14" ht="4.95" customHeight="1" x14ac:dyDescent="0.2"/>
    <row r="720" spans="1:14" x14ac:dyDescent="0.2">
      <c r="A720" s="16" t="s">
        <v>447</v>
      </c>
      <c r="B720" s="9">
        <f t="shared" ref="B720:N720" si="140">B713+B715+B717</f>
        <v>54788.39</v>
      </c>
      <c r="C720" s="9">
        <f t="shared" si="140"/>
        <v>69212.48000000001</v>
      </c>
      <c r="D720" s="9">
        <f t="shared" si="140"/>
        <v>96401.8</v>
      </c>
      <c r="E720" s="9">
        <f t="shared" si="140"/>
        <v>78156.31</v>
      </c>
      <c r="F720" s="9">
        <f t="shared" si="140"/>
        <v>53981.739999999991</v>
      </c>
      <c r="G720" s="9">
        <f t="shared" si="140"/>
        <v>77473.319999999992</v>
      </c>
      <c r="H720" s="9">
        <f t="shared" si="140"/>
        <v>80953.27</v>
      </c>
      <c r="I720" s="9">
        <f t="shared" si="140"/>
        <v>82604.5</v>
      </c>
      <c r="J720" s="9">
        <f t="shared" si="140"/>
        <v>103801.18999999999</v>
      </c>
      <c r="K720" s="9">
        <f t="shared" si="140"/>
        <v>71207.95</v>
      </c>
      <c r="L720" s="9">
        <f t="shared" si="140"/>
        <v>68450.12</v>
      </c>
      <c r="M720" s="9">
        <f t="shared" si="140"/>
        <v>54511.14</v>
      </c>
      <c r="N720" s="9">
        <f t="shared" si="140"/>
        <v>891542.20999999985</v>
      </c>
    </row>
    <row r="721" spans="1:14" ht="4.95" customHeight="1" x14ac:dyDescent="0.2"/>
    <row r="722" spans="1:14" ht="4.95" customHeight="1" x14ac:dyDescent="0.2"/>
    <row r="723" spans="1:14" x14ac:dyDescent="0.2">
      <c r="A723" s="16" t="s">
        <v>28</v>
      </c>
    </row>
    <row r="725" spans="1:14" x14ac:dyDescent="0.2">
      <c r="A725" s="16" t="s">
        <v>448</v>
      </c>
    </row>
    <row r="726" spans="1:14" x14ac:dyDescent="0.2">
      <c r="A726" s="17" t="s">
        <v>449</v>
      </c>
      <c r="B726" s="10">
        <v>0</v>
      </c>
      <c r="C726" s="10">
        <v>0</v>
      </c>
      <c r="D726" s="10">
        <v>43.76</v>
      </c>
      <c r="E726" s="10">
        <v>-15.5</v>
      </c>
      <c r="F726" s="10">
        <v>2.7</v>
      </c>
      <c r="G726" s="10">
        <v>0.9</v>
      </c>
      <c r="H726" s="10">
        <v>0</v>
      </c>
      <c r="I726" s="10">
        <v>0</v>
      </c>
      <c r="J726" s="10">
        <v>1.25</v>
      </c>
      <c r="K726" s="10">
        <v>-139.46</v>
      </c>
      <c r="L726" s="10">
        <v>0</v>
      </c>
      <c r="M726" s="10">
        <v>280</v>
      </c>
      <c r="N726" s="10">
        <f t="shared" ref="N726:N734" si="141">B726+C726+D726+E726+F726+G726+H726+I726+J726+K726+L726+M726</f>
        <v>173.64999999999998</v>
      </c>
    </row>
    <row r="727" spans="1:14" x14ac:dyDescent="0.2">
      <c r="A727" s="17" t="s">
        <v>450</v>
      </c>
      <c r="B727" s="10">
        <v>0</v>
      </c>
      <c r="C727" s="10">
        <v>0</v>
      </c>
      <c r="D727" s="10">
        <v>4618.9399999999996</v>
      </c>
      <c r="E727" s="10">
        <v>0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-4434.09</v>
      </c>
      <c r="L727" s="10">
        <v>2316.6999999999998</v>
      </c>
      <c r="M727" s="10">
        <v>0</v>
      </c>
      <c r="N727" s="10">
        <f t="shared" si="141"/>
        <v>2501.5499999999993</v>
      </c>
    </row>
    <row r="728" spans="1:14" x14ac:dyDescent="0.2">
      <c r="A728" s="17" t="s">
        <v>451</v>
      </c>
      <c r="B728" s="10">
        <v>0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11073</v>
      </c>
      <c r="L728" s="10">
        <v>0</v>
      </c>
      <c r="M728" s="10">
        <v>0</v>
      </c>
      <c r="N728" s="10">
        <f t="shared" si="141"/>
        <v>11073</v>
      </c>
    </row>
    <row r="729" spans="1:14" x14ac:dyDescent="0.2">
      <c r="A729" s="17" t="s">
        <v>452</v>
      </c>
      <c r="B729" s="10">
        <v>-1096.6500000000001</v>
      </c>
      <c r="C729" s="10">
        <v>-864.06</v>
      </c>
      <c r="D729" s="10">
        <v>-2595.12</v>
      </c>
      <c r="E729" s="10">
        <v>-1057.4000000000001</v>
      </c>
      <c r="F729" s="10">
        <v>-772.42</v>
      </c>
      <c r="G729" s="10">
        <v>-577.83000000000004</v>
      </c>
      <c r="H729" s="10">
        <v>-625.17999999999995</v>
      </c>
      <c r="I729" s="10">
        <v>-1003.03</v>
      </c>
      <c r="J729" s="10">
        <v>-926.06</v>
      </c>
      <c r="K729" s="10">
        <v>-821.14</v>
      </c>
      <c r="L729" s="10">
        <v>-741.36</v>
      </c>
      <c r="M729" s="10">
        <v>-533.36</v>
      </c>
      <c r="N729" s="10">
        <f t="shared" si="141"/>
        <v>-11613.61</v>
      </c>
    </row>
    <row r="730" spans="1:14" x14ac:dyDescent="0.2">
      <c r="A730" s="17" t="s">
        <v>453</v>
      </c>
      <c r="B730" s="10">
        <v>150</v>
      </c>
      <c r="C730" s="10">
        <v>50</v>
      </c>
      <c r="D730" s="10">
        <v>100</v>
      </c>
      <c r="E730" s="10">
        <v>150</v>
      </c>
      <c r="F730" s="10">
        <v>300</v>
      </c>
      <c r="G730" s="10">
        <v>475</v>
      </c>
      <c r="H730" s="10">
        <v>375</v>
      </c>
      <c r="I730" s="10">
        <v>425</v>
      </c>
      <c r="J730" s="10">
        <v>800</v>
      </c>
      <c r="K730" s="10">
        <v>300</v>
      </c>
      <c r="L730" s="10">
        <v>725</v>
      </c>
      <c r="M730" s="10">
        <v>725</v>
      </c>
      <c r="N730" s="10">
        <f t="shared" si="141"/>
        <v>4575</v>
      </c>
    </row>
    <row r="731" spans="1:14" x14ac:dyDescent="0.2">
      <c r="A731" s="17" t="s">
        <v>454</v>
      </c>
      <c r="B731" s="10">
        <v>0</v>
      </c>
      <c r="C731" s="10">
        <v>46.19</v>
      </c>
      <c r="D731" s="10">
        <v>0</v>
      </c>
      <c r="E731" s="10">
        <v>0</v>
      </c>
      <c r="F731" s="10">
        <v>0</v>
      </c>
      <c r="G731" s="10">
        <v>250</v>
      </c>
      <c r="H731" s="10">
        <v>50</v>
      </c>
      <c r="I731" s="10">
        <v>162.41</v>
      </c>
      <c r="J731" s="10">
        <v>184.76</v>
      </c>
      <c r="K731" s="10">
        <v>0</v>
      </c>
      <c r="L731" s="10">
        <v>0</v>
      </c>
      <c r="M731" s="10">
        <v>1035.32</v>
      </c>
      <c r="N731" s="10">
        <f t="shared" si="141"/>
        <v>1728.6799999999998</v>
      </c>
    </row>
    <row r="732" spans="1:14" x14ac:dyDescent="0.2">
      <c r="A732" s="17" t="s">
        <v>455</v>
      </c>
      <c r="B732" s="10">
        <v>381.15</v>
      </c>
      <c r="C732" s="10">
        <v>242.55</v>
      </c>
      <c r="D732" s="10">
        <v>623.79999999999995</v>
      </c>
      <c r="E732" s="10">
        <v>554.4</v>
      </c>
      <c r="F732" s="10">
        <v>262.35000000000002</v>
      </c>
      <c r="G732" s="10">
        <v>371.25</v>
      </c>
      <c r="H732" s="10">
        <v>217.8</v>
      </c>
      <c r="I732" s="10">
        <v>440.55</v>
      </c>
      <c r="J732" s="10">
        <v>321.75</v>
      </c>
      <c r="K732" s="10">
        <v>366.3</v>
      </c>
      <c r="L732" s="10">
        <v>247.5</v>
      </c>
      <c r="M732" s="10">
        <v>174.25</v>
      </c>
      <c r="N732" s="10">
        <f t="shared" si="141"/>
        <v>4203.6500000000005</v>
      </c>
    </row>
    <row r="733" spans="1:14" x14ac:dyDescent="0.2">
      <c r="A733" s="17" t="s">
        <v>456</v>
      </c>
      <c r="B733" s="10">
        <v>123.74</v>
      </c>
      <c r="C733" s="10">
        <v>15.2</v>
      </c>
      <c r="D733" s="10">
        <v>141.37</v>
      </c>
      <c r="E733" s="10">
        <v>213.55</v>
      </c>
      <c r="F733" s="10">
        <v>275.58</v>
      </c>
      <c r="G733" s="10">
        <v>243.48</v>
      </c>
      <c r="H733" s="10">
        <v>200.39</v>
      </c>
      <c r="I733" s="10">
        <v>195.46</v>
      </c>
      <c r="J733" s="10">
        <v>157.31</v>
      </c>
      <c r="K733" s="10">
        <v>67.44</v>
      </c>
      <c r="L733" s="10">
        <v>245.94</v>
      </c>
      <c r="M733" s="10">
        <v>110.35</v>
      </c>
      <c r="N733" s="10">
        <f t="shared" si="141"/>
        <v>1989.81</v>
      </c>
    </row>
    <row r="734" spans="1:14" x14ac:dyDescent="0.2">
      <c r="A734" s="17" t="s">
        <v>457</v>
      </c>
      <c r="B734" s="10">
        <v>112.35</v>
      </c>
      <c r="C734" s="10">
        <v>87.74</v>
      </c>
      <c r="D734" s="10">
        <v>83.46</v>
      </c>
      <c r="E734" s="10">
        <v>99.51</v>
      </c>
      <c r="F734" s="10">
        <v>155.15</v>
      </c>
      <c r="G734" s="10">
        <v>131.61000000000001</v>
      </c>
      <c r="H734" s="10">
        <v>136.96</v>
      </c>
      <c r="I734" s="10">
        <v>107</v>
      </c>
      <c r="J734" s="10">
        <v>131.61000000000001</v>
      </c>
      <c r="K734" s="10">
        <v>99.51</v>
      </c>
      <c r="L734" s="10">
        <v>139.1</v>
      </c>
      <c r="M734" s="10">
        <v>107</v>
      </c>
      <c r="N734" s="10">
        <f t="shared" si="141"/>
        <v>1390.9999999999998</v>
      </c>
    </row>
    <row r="735" spans="1:14" ht="4.95" customHeight="1" x14ac:dyDescent="0.2"/>
    <row r="736" spans="1:14" ht="4.95" customHeight="1" x14ac:dyDescent="0.2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 spans="1:14" ht="4.95" customHeight="1" x14ac:dyDescent="0.2"/>
    <row r="738" spans="1:14" x14ac:dyDescent="0.2">
      <c r="A738" s="16" t="s">
        <v>458</v>
      </c>
      <c r="B738" s="9">
        <f t="shared" ref="B738:N738" si="142">SUM(B726:B734)</f>
        <v>-329.41000000000008</v>
      </c>
      <c r="C738" s="9">
        <f t="shared" si="142"/>
        <v>-422.37999999999994</v>
      </c>
      <c r="D738" s="9">
        <f t="shared" si="142"/>
        <v>3016.21</v>
      </c>
      <c r="E738" s="9">
        <f t="shared" si="142"/>
        <v>-55.440000000000097</v>
      </c>
      <c r="F738" s="9">
        <f t="shared" si="142"/>
        <v>223.3600000000001</v>
      </c>
      <c r="G738" s="9">
        <f t="shared" si="142"/>
        <v>894.41</v>
      </c>
      <c r="H738" s="9">
        <f t="shared" si="142"/>
        <v>354.97</v>
      </c>
      <c r="I738" s="9">
        <f t="shared" si="142"/>
        <v>327.39</v>
      </c>
      <c r="J738" s="9">
        <f t="shared" si="142"/>
        <v>670.62</v>
      </c>
      <c r="K738" s="9">
        <f t="shared" si="142"/>
        <v>6511.5599999999995</v>
      </c>
      <c r="L738" s="9">
        <f t="shared" si="142"/>
        <v>2932.8799999999997</v>
      </c>
      <c r="M738" s="9">
        <f t="shared" si="142"/>
        <v>1898.56</v>
      </c>
      <c r="N738" s="9">
        <f t="shared" si="142"/>
        <v>16022.729999999998</v>
      </c>
    </row>
    <row r="739" spans="1:14" ht="4.95" customHeight="1" x14ac:dyDescent="0.2"/>
    <row r="740" spans="1:14" ht="4.95" customHeight="1" x14ac:dyDescent="0.2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 spans="1:14" ht="4.95" customHeight="1" x14ac:dyDescent="0.2"/>
    <row r="742" spans="1:14" ht="4.95" customHeight="1" x14ac:dyDescent="0.2"/>
    <row r="743" spans="1:14" x14ac:dyDescent="0.2">
      <c r="A743" s="16" t="s">
        <v>29</v>
      </c>
      <c r="B743" s="9">
        <f t="shared" ref="B743:N743" si="143">B122+B277+B365+B461+B534+B619+B673+B699+B738</f>
        <v>1057984.27</v>
      </c>
      <c r="C743" s="9">
        <f t="shared" si="143"/>
        <v>1283556.0800000003</v>
      </c>
      <c r="D743" s="9">
        <f t="shared" si="143"/>
        <v>1899799.8</v>
      </c>
      <c r="E743" s="9">
        <f t="shared" si="143"/>
        <v>1877342.2800000003</v>
      </c>
      <c r="F743" s="9">
        <f t="shared" si="143"/>
        <v>1272874.0299999998</v>
      </c>
      <c r="G743" s="9">
        <f t="shared" si="143"/>
        <v>1247364.7000000002</v>
      </c>
      <c r="H743" s="9">
        <f t="shared" si="143"/>
        <v>1107002.19</v>
      </c>
      <c r="I743" s="9">
        <f t="shared" si="143"/>
        <v>1052122.4399999997</v>
      </c>
      <c r="J743" s="9">
        <f t="shared" si="143"/>
        <v>1491574.96</v>
      </c>
      <c r="K743" s="9">
        <f t="shared" si="143"/>
        <v>1538845.0000000002</v>
      </c>
      <c r="L743" s="9">
        <f t="shared" si="143"/>
        <v>1242706.1299999999</v>
      </c>
      <c r="M743" s="9">
        <f t="shared" si="143"/>
        <v>1108996.0300000003</v>
      </c>
      <c r="N743" s="9">
        <f t="shared" si="143"/>
        <v>16180167.909999998</v>
      </c>
    </row>
    <row r="744" spans="1:14" ht="4.95" customHeight="1" x14ac:dyDescent="0.2"/>
    <row r="745" spans="1:14" x14ac:dyDescent="0.2">
      <c r="A745" s="16" t="s">
        <v>34</v>
      </c>
    </row>
    <row r="747" spans="1:14" x14ac:dyDescent="0.2">
      <c r="A747" s="16" t="s">
        <v>459</v>
      </c>
    </row>
    <row r="748" spans="1:14" x14ac:dyDescent="0.2">
      <c r="A748" s="16" t="s">
        <v>460</v>
      </c>
    </row>
    <row r="750" spans="1:14" x14ac:dyDescent="0.2">
      <c r="A750" s="16" t="s">
        <v>461</v>
      </c>
    </row>
    <row r="751" spans="1:14" x14ac:dyDescent="0.2">
      <c r="A751" s="16" t="s">
        <v>462</v>
      </c>
    </row>
    <row r="752" spans="1:14" x14ac:dyDescent="0.2">
      <c r="A752" s="17" t="s">
        <v>463</v>
      </c>
      <c r="B752" s="10">
        <v>11539.2</v>
      </c>
      <c r="C752" s="10">
        <v>6923.52</v>
      </c>
      <c r="D752" s="10">
        <v>13270.08</v>
      </c>
      <c r="E752" s="10">
        <v>11539.2</v>
      </c>
      <c r="F752" s="10">
        <v>13270.08</v>
      </c>
      <c r="G752" s="10">
        <v>12116.16</v>
      </c>
      <c r="H752" s="10">
        <v>11539.2</v>
      </c>
      <c r="I752" s="10">
        <v>12693.12</v>
      </c>
      <c r="J752" s="10">
        <v>11831.04</v>
      </c>
      <c r="K752" s="10">
        <v>8292.48</v>
      </c>
      <c r="L752" s="10">
        <v>11254.08</v>
      </c>
      <c r="M752" s="10">
        <v>10786.79</v>
      </c>
      <c r="N752" s="10">
        <f>B752+C752+D752+E752+F752+G752+H752+I752+J752+K752+L752+M752</f>
        <v>135054.95000000001</v>
      </c>
    </row>
    <row r="753" spans="1:14" x14ac:dyDescent="0.2">
      <c r="A753" s="17" t="s">
        <v>464</v>
      </c>
      <c r="B753" s="10">
        <v>7692.8</v>
      </c>
      <c r="C753" s="10">
        <v>7692.8</v>
      </c>
      <c r="D753" s="10">
        <v>8462.08</v>
      </c>
      <c r="E753" s="10">
        <v>7308.16</v>
      </c>
      <c r="F753" s="10">
        <v>8846.7199999999993</v>
      </c>
      <c r="G753" s="10">
        <v>8077.44</v>
      </c>
      <c r="H753" s="10">
        <v>7308.16</v>
      </c>
      <c r="I753" s="10">
        <v>8846.7199999999993</v>
      </c>
      <c r="J753" s="10">
        <v>7911.68</v>
      </c>
      <c r="K753" s="10">
        <v>8715.52</v>
      </c>
      <c r="L753" s="10">
        <v>7923.2</v>
      </c>
      <c r="M753" s="10">
        <v>1188.48</v>
      </c>
      <c r="N753" s="10">
        <f>B753+C753+D753+E753+F753+G753+H753+I753+J753+K753+L753+M753</f>
        <v>89973.759999999995</v>
      </c>
    </row>
    <row r="754" spans="1:14" x14ac:dyDescent="0.2">
      <c r="A754" s="16" t="s">
        <v>465</v>
      </c>
      <c r="B754" s="9">
        <f t="shared" ref="B754:N754" si="144">SUM(B752:B753)</f>
        <v>19232</v>
      </c>
      <c r="C754" s="9">
        <f t="shared" si="144"/>
        <v>14616.32</v>
      </c>
      <c r="D754" s="9">
        <f t="shared" si="144"/>
        <v>21732.16</v>
      </c>
      <c r="E754" s="9">
        <f t="shared" si="144"/>
        <v>18847.36</v>
      </c>
      <c r="F754" s="9">
        <f t="shared" si="144"/>
        <v>22116.799999999999</v>
      </c>
      <c r="G754" s="9">
        <f t="shared" si="144"/>
        <v>20193.599999999999</v>
      </c>
      <c r="H754" s="9">
        <f t="shared" si="144"/>
        <v>18847.36</v>
      </c>
      <c r="I754" s="9">
        <f t="shared" si="144"/>
        <v>21539.84</v>
      </c>
      <c r="J754" s="9">
        <f t="shared" si="144"/>
        <v>19742.72</v>
      </c>
      <c r="K754" s="9">
        <f t="shared" si="144"/>
        <v>17008</v>
      </c>
      <c r="L754" s="9">
        <f t="shared" si="144"/>
        <v>19177.28</v>
      </c>
      <c r="M754" s="9">
        <f t="shared" si="144"/>
        <v>11975.27</v>
      </c>
      <c r="N754" s="9">
        <f t="shared" si="144"/>
        <v>225028.71000000002</v>
      </c>
    </row>
    <row r="756" spans="1:14" x14ac:dyDescent="0.2">
      <c r="A756" s="16" t="s">
        <v>466</v>
      </c>
    </row>
    <row r="757" spans="1:14" x14ac:dyDescent="0.2">
      <c r="A757" s="17" t="s">
        <v>467</v>
      </c>
      <c r="B757" s="10">
        <v>6263.79</v>
      </c>
      <c r="C757" s="10">
        <v>8812.2199999999993</v>
      </c>
      <c r="D757" s="10">
        <v>10426.31</v>
      </c>
      <c r="E757" s="10">
        <v>8430.9699999999993</v>
      </c>
      <c r="F757" s="10">
        <v>9766.2999999999993</v>
      </c>
      <c r="G757" s="10">
        <v>8632.2999999999993</v>
      </c>
      <c r="H757" s="10">
        <v>8307.9699999999993</v>
      </c>
      <c r="I757" s="10">
        <v>9739.9500000000007</v>
      </c>
      <c r="J757" s="10">
        <v>9110.24</v>
      </c>
      <c r="K757" s="10">
        <v>10320.219999999999</v>
      </c>
      <c r="L757" s="10">
        <v>8873.16</v>
      </c>
      <c r="M757" s="10">
        <v>8715.0499999999993</v>
      </c>
      <c r="N757" s="10">
        <f>B757+C757+D757+E757+F757+G757+H757+I757+J757+K757+L757+M757</f>
        <v>107398.48000000001</v>
      </c>
    </row>
    <row r="758" spans="1:14" x14ac:dyDescent="0.2">
      <c r="A758" s="17" t="s">
        <v>468</v>
      </c>
      <c r="B758" s="10">
        <v>0</v>
      </c>
      <c r="C758" s="10">
        <v>0</v>
      </c>
      <c r="D758" s="10">
        <v>0</v>
      </c>
      <c r="E758" s="10">
        <v>2500</v>
      </c>
      <c r="F758" s="10">
        <v>5250</v>
      </c>
      <c r="G758" s="10">
        <v>5000</v>
      </c>
      <c r="H758" s="10">
        <v>3250</v>
      </c>
      <c r="I758" s="10">
        <v>5250</v>
      </c>
      <c r="J758" s="10">
        <v>750</v>
      </c>
      <c r="K758" s="10">
        <v>538.4</v>
      </c>
      <c r="L758" s="10">
        <v>5922.4</v>
      </c>
      <c r="M758" s="10">
        <v>5653.2</v>
      </c>
      <c r="N758" s="10">
        <f>B758+C758+D758+E758+F758+G758+H758+I758+J758+K758+L758+M758</f>
        <v>34114</v>
      </c>
    </row>
    <row r="759" spans="1:14" x14ac:dyDescent="0.2">
      <c r="A759" s="17" t="s">
        <v>469</v>
      </c>
      <c r="B759" s="10">
        <v>3259.89</v>
      </c>
      <c r="C759" s="10">
        <v>4467.2700000000004</v>
      </c>
      <c r="D759" s="10">
        <v>4485.99</v>
      </c>
      <c r="E759" s="10">
        <v>4530.09</v>
      </c>
      <c r="F759" s="10">
        <v>4319.25</v>
      </c>
      <c r="G759" s="10">
        <v>4606.3599999999997</v>
      </c>
      <c r="H759" s="10">
        <v>4814.08</v>
      </c>
      <c r="I759" s="10">
        <v>4800.83</v>
      </c>
      <c r="J759" s="10">
        <v>4811.83</v>
      </c>
      <c r="K759" s="10">
        <v>4917.41</v>
      </c>
      <c r="L759" s="10">
        <v>4782.6499999999996</v>
      </c>
      <c r="M759" s="10">
        <v>4933.6499999999996</v>
      </c>
      <c r="N759" s="10">
        <f>B759+C759+D759+E759+F759+G759+H759+I759+J759+K759+L759+M759</f>
        <v>54729.3</v>
      </c>
    </row>
    <row r="760" spans="1:14" x14ac:dyDescent="0.2">
      <c r="A760" s="16" t="s">
        <v>470</v>
      </c>
      <c r="B760" s="9">
        <f t="shared" ref="B760:N760" si="145">SUM(B757:B759)</f>
        <v>9523.68</v>
      </c>
      <c r="C760" s="9">
        <f t="shared" si="145"/>
        <v>13279.49</v>
      </c>
      <c r="D760" s="9">
        <f t="shared" si="145"/>
        <v>14912.3</v>
      </c>
      <c r="E760" s="9">
        <f t="shared" si="145"/>
        <v>15461.06</v>
      </c>
      <c r="F760" s="9">
        <f t="shared" si="145"/>
        <v>19335.55</v>
      </c>
      <c r="G760" s="9">
        <f t="shared" si="145"/>
        <v>18238.66</v>
      </c>
      <c r="H760" s="9">
        <f t="shared" si="145"/>
        <v>16372.05</v>
      </c>
      <c r="I760" s="9">
        <f t="shared" si="145"/>
        <v>19790.78</v>
      </c>
      <c r="J760" s="9">
        <f t="shared" si="145"/>
        <v>14672.07</v>
      </c>
      <c r="K760" s="9">
        <f t="shared" si="145"/>
        <v>15776.029999999999</v>
      </c>
      <c r="L760" s="9">
        <f t="shared" si="145"/>
        <v>19578.21</v>
      </c>
      <c r="M760" s="9">
        <f t="shared" si="145"/>
        <v>19301.900000000001</v>
      </c>
      <c r="N760" s="9">
        <f t="shared" si="145"/>
        <v>196241.78000000003</v>
      </c>
    </row>
    <row r="761" spans="1:14" x14ac:dyDescent="0.2">
      <c r="A761" s="16" t="s">
        <v>471</v>
      </c>
      <c r="B761" s="9">
        <f t="shared" ref="B761:N761" si="146">B754+B760</f>
        <v>28755.68</v>
      </c>
      <c r="C761" s="9">
        <f t="shared" si="146"/>
        <v>27895.809999999998</v>
      </c>
      <c r="D761" s="9">
        <f t="shared" si="146"/>
        <v>36644.46</v>
      </c>
      <c r="E761" s="9">
        <f t="shared" si="146"/>
        <v>34308.42</v>
      </c>
      <c r="F761" s="9">
        <f t="shared" si="146"/>
        <v>41452.35</v>
      </c>
      <c r="G761" s="9">
        <f t="shared" si="146"/>
        <v>38432.259999999995</v>
      </c>
      <c r="H761" s="9">
        <f t="shared" si="146"/>
        <v>35219.410000000003</v>
      </c>
      <c r="I761" s="9">
        <f t="shared" si="146"/>
        <v>41330.619999999995</v>
      </c>
      <c r="J761" s="9">
        <f t="shared" si="146"/>
        <v>34414.79</v>
      </c>
      <c r="K761" s="9">
        <f t="shared" si="146"/>
        <v>32784.03</v>
      </c>
      <c r="L761" s="9">
        <f t="shared" si="146"/>
        <v>38755.49</v>
      </c>
      <c r="M761" s="9">
        <f t="shared" si="146"/>
        <v>31277.170000000002</v>
      </c>
      <c r="N761" s="9">
        <f t="shared" si="146"/>
        <v>421270.49000000005</v>
      </c>
    </row>
    <row r="763" spans="1:14" x14ac:dyDescent="0.2">
      <c r="A763" s="16" t="s">
        <v>472</v>
      </c>
    </row>
    <row r="764" spans="1:14" x14ac:dyDescent="0.2">
      <c r="A764" s="17" t="s">
        <v>473</v>
      </c>
      <c r="B764" s="10">
        <v>0</v>
      </c>
      <c r="C764" s="10">
        <v>0</v>
      </c>
      <c r="D764" s="10">
        <v>0</v>
      </c>
      <c r="E764" s="10">
        <v>2500</v>
      </c>
      <c r="F764" s="10">
        <v>0</v>
      </c>
      <c r="G764" s="10">
        <v>3818.47</v>
      </c>
      <c r="H764" s="10">
        <v>0</v>
      </c>
      <c r="I764" s="10">
        <v>0</v>
      </c>
      <c r="J764" s="10">
        <v>3293.35</v>
      </c>
      <c r="K764" s="10">
        <v>0</v>
      </c>
      <c r="L764" s="10">
        <v>3884.84</v>
      </c>
      <c r="M764" s="10">
        <v>0</v>
      </c>
      <c r="N764" s="10">
        <f t="shared" ref="N764:N770" si="147">B764+C764+D764+E764+F764+G764+H764+I764+J764+K764+L764+M764</f>
        <v>13496.66</v>
      </c>
    </row>
    <row r="765" spans="1:14" x14ac:dyDescent="0.2">
      <c r="A765" s="17" t="s">
        <v>474</v>
      </c>
      <c r="B765" s="10">
        <v>3355.03</v>
      </c>
      <c r="C765" s="10">
        <v>3531.87</v>
      </c>
      <c r="D765" s="10">
        <v>2886.62</v>
      </c>
      <c r="E765" s="10">
        <v>4138.03</v>
      </c>
      <c r="F765" s="10">
        <v>2990.24</v>
      </c>
      <c r="G765" s="10">
        <v>3111.16</v>
      </c>
      <c r="H765" s="10">
        <v>2517.27</v>
      </c>
      <c r="I765" s="10">
        <v>3171.68</v>
      </c>
      <c r="J765" s="10">
        <v>4006.46</v>
      </c>
      <c r="K765" s="10">
        <v>2310.77</v>
      </c>
      <c r="L765" s="10">
        <v>3122.01</v>
      </c>
      <c r="M765" s="10">
        <v>2372.36</v>
      </c>
      <c r="N765" s="10">
        <f t="shared" si="147"/>
        <v>37513.5</v>
      </c>
    </row>
    <row r="766" spans="1:14" x14ac:dyDescent="0.2">
      <c r="A766" s="17" t="s">
        <v>475</v>
      </c>
      <c r="B766" s="10">
        <v>219.14</v>
      </c>
      <c r="C766" s="10">
        <v>221.24</v>
      </c>
      <c r="D766" s="10">
        <v>240.27</v>
      </c>
      <c r="E766" s="10">
        <v>221.76</v>
      </c>
      <c r="F766" s="10">
        <v>294.35000000000002</v>
      </c>
      <c r="G766" s="10">
        <v>280.12</v>
      </c>
      <c r="H766" s="10">
        <v>247.95</v>
      </c>
      <c r="I766" s="10">
        <v>241.14</v>
      </c>
      <c r="J766" s="10">
        <v>191.02</v>
      </c>
      <c r="K766" s="10">
        <v>161.03</v>
      </c>
      <c r="L766" s="10">
        <v>213.57</v>
      </c>
      <c r="M766" s="10">
        <v>178.2</v>
      </c>
      <c r="N766" s="10">
        <f t="shared" si="147"/>
        <v>2709.7900000000004</v>
      </c>
    </row>
    <row r="767" spans="1:14" x14ac:dyDescent="0.2">
      <c r="A767" s="17" t="s">
        <v>476</v>
      </c>
      <c r="B767" s="10">
        <v>430.62</v>
      </c>
      <c r="C767" s="10">
        <v>752.48</v>
      </c>
      <c r="D767" s="10">
        <v>682.25</v>
      </c>
      <c r="E767" s="10">
        <v>407.55</v>
      </c>
      <c r="F767" s="10">
        <v>889.97</v>
      </c>
      <c r="G767" s="10">
        <v>775.49</v>
      </c>
      <c r="H767" s="10">
        <v>916.97</v>
      </c>
      <c r="I767" s="10">
        <v>976.97</v>
      </c>
      <c r="J767" s="10">
        <v>479.56</v>
      </c>
      <c r="K767" s="10">
        <v>851.83</v>
      </c>
      <c r="L767" s="10">
        <v>964.98</v>
      </c>
      <c r="M767" s="10">
        <v>837.47</v>
      </c>
      <c r="N767" s="10">
        <f t="shared" si="147"/>
        <v>8966.14</v>
      </c>
    </row>
    <row r="768" spans="1:14" x14ac:dyDescent="0.2">
      <c r="A768" s="17" t="s">
        <v>477</v>
      </c>
      <c r="B768" s="10">
        <v>0</v>
      </c>
      <c r="C768" s="10">
        <v>4038.72</v>
      </c>
      <c r="D768" s="10">
        <v>0</v>
      </c>
      <c r="E768" s="10">
        <v>0</v>
      </c>
      <c r="F768" s="10">
        <v>0</v>
      </c>
      <c r="G768" s="10">
        <v>276.95999999999998</v>
      </c>
      <c r="H768" s="10">
        <v>1107.8399999999999</v>
      </c>
      <c r="I768" s="10">
        <v>276.95999999999998</v>
      </c>
      <c r="J768" s="10">
        <v>606.48</v>
      </c>
      <c r="K768" s="10">
        <v>4146.24</v>
      </c>
      <c r="L768" s="10">
        <v>2201.44</v>
      </c>
      <c r="M768" s="10">
        <v>3254.48</v>
      </c>
      <c r="N768" s="10">
        <f t="shared" si="147"/>
        <v>15909.119999999999</v>
      </c>
    </row>
    <row r="769" spans="1:14" x14ac:dyDescent="0.2">
      <c r="A769" s="17" t="s">
        <v>478</v>
      </c>
      <c r="B769" s="10">
        <v>0</v>
      </c>
      <c r="C769" s="10">
        <v>0</v>
      </c>
      <c r="D769" s="10">
        <v>661.6</v>
      </c>
      <c r="E769" s="10">
        <v>0</v>
      </c>
      <c r="F769" s="10">
        <v>0</v>
      </c>
      <c r="G769" s="10">
        <v>0</v>
      </c>
      <c r="H769" s="10">
        <v>384.64</v>
      </c>
      <c r="I769" s="10">
        <v>576.96</v>
      </c>
      <c r="J769" s="10">
        <v>354.96</v>
      </c>
      <c r="K769" s="10">
        <v>672.64</v>
      </c>
      <c r="L769" s="10">
        <v>80.319999999999993</v>
      </c>
      <c r="M769" s="10">
        <v>3454.48</v>
      </c>
      <c r="N769" s="10">
        <f t="shared" si="147"/>
        <v>6185.6</v>
      </c>
    </row>
    <row r="770" spans="1:14" x14ac:dyDescent="0.2">
      <c r="A770" s="17" t="s">
        <v>479</v>
      </c>
      <c r="B770" s="10">
        <v>2477.12</v>
      </c>
      <c r="C770" s="10">
        <v>576.96</v>
      </c>
      <c r="D770" s="10">
        <v>0</v>
      </c>
      <c r="E770" s="10">
        <v>661.6</v>
      </c>
      <c r="F770" s="10">
        <v>300</v>
      </c>
      <c r="G770" s="10">
        <v>1656.85</v>
      </c>
      <c r="H770" s="10">
        <v>1661.54</v>
      </c>
      <c r="I770" s="10">
        <v>0</v>
      </c>
      <c r="J770" s="10">
        <v>1682.38</v>
      </c>
      <c r="K770" s="10">
        <v>0</v>
      </c>
      <c r="L770" s="10">
        <v>1572.06</v>
      </c>
      <c r="M770" s="10">
        <v>0</v>
      </c>
      <c r="N770" s="10">
        <f t="shared" si="147"/>
        <v>10588.51</v>
      </c>
    </row>
    <row r="771" spans="1:14" x14ac:dyDescent="0.2">
      <c r="A771" s="16" t="s">
        <v>480</v>
      </c>
      <c r="B771" s="9">
        <f t="shared" ref="B771:N771" si="148">SUM(B764:B770)</f>
        <v>6481.91</v>
      </c>
      <c r="C771" s="9">
        <f t="shared" si="148"/>
        <v>9121.27</v>
      </c>
      <c r="D771" s="9">
        <f t="shared" si="148"/>
        <v>4470.74</v>
      </c>
      <c r="E771" s="9">
        <f t="shared" si="148"/>
        <v>7928.9400000000005</v>
      </c>
      <c r="F771" s="9">
        <f t="shared" si="148"/>
        <v>4474.5599999999995</v>
      </c>
      <c r="G771" s="9">
        <f t="shared" si="148"/>
        <v>9919.0499999999993</v>
      </c>
      <c r="H771" s="9">
        <f t="shared" si="148"/>
        <v>6836.21</v>
      </c>
      <c r="I771" s="9">
        <f t="shared" si="148"/>
        <v>5243.71</v>
      </c>
      <c r="J771" s="9">
        <f t="shared" si="148"/>
        <v>10614.21</v>
      </c>
      <c r="K771" s="9">
        <f t="shared" si="148"/>
        <v>8142.51</v>
      </c>
      <c r="L771" s="9">
        <f t="shared" si="148"/>
        <v>12039.22</v>
      </c>
      <c r="M771" s="9">
        <f t="shared" si="148"/>
        <v>10096.99</v>
      </c>
      <c r="N771" s="9">
        <f t="shared" si="148"/>
        <v>95369.32</v>
      </c>
    </row>
    <row r="772" spans="1:14" ht="4.95" customHeight="1" x14ac:dyDescent="0.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 spans="1:14" ht="4.95" customHeight="1" x14ac:dyDescent="0.2"/>
    <row r="774" spans="1:14" x14ac:dyDescent="0.2">
      <c r="A774" s="16" t="s">
        <v>481</v>
      </c>
      <c r="B774" s="9">
        <f t="shared" ref="B774:N774" si="149">B761+B771</f>
        <v>35237.589999999997</v>
      </c>
      <c r="C774" s="9">
        <f t="shared" si="149"/>
        <v>37017.08</v>
      </c>
      <c r="D774" s="9">
        <f t="shared" si="149"/>
        <v>41115.199999999997</v>
      </c>
      <c r="E774" s="9">
        <f t="shared" si="149"/>
        <v>42237.36</v>
      </c>
      <c r="F774" s="9">
        <f t="shared" si="149"/>
        <v>45926.909999999996</v>
      </c>
      <c r="G774" s="9">
        <f t="shared" si="149"/>
        <v>48351.31</v>
      </c>
      <c r="H774" s="9">
        <f t="shared" si="149"/>
        <v>42055.62</v>
      </c>
      <c r="I774" s="9">
        <f t="shared" si="149"/>
        <v>46574.329999999994</v>
      </c>
      <c r="J774" s="9">
        <f t="shared" si="149"/>
        <v>45029</v>
      </c>
      <c r="K774" s="9">
        <f t="shared" si="149"/>
        <v>40926.54</v>
      </c>
      <c r="L774" s="9">
        <f t="shared" si="149"/>
        <v>50794.71</v>
      </c>
      <c r="M774" s="9">
        <f t="shared" si="149"/>
        <v>41374.160000000003</v>
      </c>
      <c r="N774" s="9">
        <f t="shared" si="149"/>
        <v>516639.81000000006</v>
      </c>
    </row>
    <row r="775" spans="1:14" ht="4.95" customHeight="1" x14ac:dyDescent="0.2"/>
    <row r="776" spans="1:14" x14ac:dyDescent="0.2">
      <c r="A776" s="16" t="s">
        <v>114</v>
      </c>
    </row>
    <row r="777" spans="1:14" x14ac:dyDescent="0.2">
      <c r="A777" s="17" t="s">
        <v>482</v>
      </c>
      <c r="B777" s="10">
        <v>27.76</v>
      </c>
      <c r="C777" s="10">
        <v>332.2</v>
      </c>
      <c r="D777" s="10">
        <v>199.19</v>
      </c>
      <c r="E777" s="10">
        <v>227.34</v>
      </c>
      <c r="F777" s="10">
        <v>0</v>
      </c>
      <c r="G777" s="10">
        <v>0</v>
      </c>
      <c r="H777" s="10">
        <v>0</v>
      </c>
      <c r="I777" s="10">
        <v>593.35</v>
      </c>
      <c r="J777" s="10">
        <v>0</v>
      </c>
      <c r="K777" s="10">
        <v>0</v>
      </c>
      <c r="L777" s="10">
        <v>0</v>
      </c>
      <c r="M777" s="10">
        <v>0</v>
      </c>
      <c r="N777" s="10">
        <f t="shared" ref="N777:N793" si="150">B777+C777+D777+E777+F777+G777+H777+I777+J777+K777+L777+M777</f>
        <v>1379.8400000000001</v>
      </c>
    </row>
    <row r="778" spans="1:14" x14ac:dyDescent="0.2">
      <c r="A778" s="17" t="s">
        <v>483</v>
      </c>
      <c r="B778" s="10">
        <v>674.18</v>
      </c>
      <c r="C778" s="10">
        <v>1232.58</v>
      </c>
      <c r="D778" s="10">
        <v>1550.06</v>
      </c>
      <c r="E778" s="10">
        <v>1523.21</v>
      </c>
      <c r="F778" s="10">
        <v>1937.11</v>
      </c>
      <c r="G778" s="10">
        <v>1644.66</v>
      </c>
      <c r="H778" s="10">
        <v>1645.84</v>
      </c>
      <c r="I778" s="10">
        <v>1494.14</v>
      </c>
      <c r="J778" s="10">
        <v>1554.47</v>
      </c>
      <c r="K778" s="10">
        <v>1511.41</v>
      </c>
      <c r="L778" s="10">
        <v>1393.28</v>
      </c>
      <c r="M778" s="10">
        <v>1411.88</v>
      </c>
      <c r="N778" s="10">
        <f t="shared" si="150"/>
        <v>17572.82</v>
      </c>
    </row>
    <row r="779" spans="1:14" x14ac:dyDescent="0.2">
      <c r="A779" s="17" t="s">
        <v>484</v>
      </c>
      <c r="B779" s="10">
        <v>8.6999999999999993</v>
      </c>
      <c r="C779" s="10">
        <v>-4.43</v>
      </c>
      <c r="D779" s="10">
        <v>-499.9</v>
      </c>
      <c r="E779" s="10">
        <v>390.3</v>
      </c>
      <c r="F779" s="10">
        <v>412.77</v>
      </c>
      <c r="G779" s="10">
        <v>1790.57</v>
      </c>
      <c r="H779" s="10">
        <v>-1985</v>
      </c>
      <c r="I779" s="10">
        <v>-176.44</v>
      </c>
      <c r="J779" s="10">
        <v>-143.33000000000001</v>
      </c>
      <c r="K779" s="10">
        <v>90.56</v>
      </c>
      <c r="L779" s="10">
        <v>-6.18</v>
      </c>
      <c r="M779" s="10">
        <v>-8.3699999999999992</v>
      </c>
      <c r="N779" s="10">
        <f t="shared" si="150"/>
        <v>-130.75000000000026</v>
      </c>
    </row>
    <row r="780" spans="1:14" x14ac:dyDescent="0.2">
      <c r="A780" s="17" t="s">
        <v>485</v>
      </c>
      <c r="B780" s="10">
        <v>150</v>
      </c>
      <c r="C780" s="10">
        <v>150</v>
      </c>
      <c r="D780" s="10">
        <v>150</v>
      </c>
      <c r="E780" s="10">
        <v>150</v>
      </c>
      <c r="F780" s="10">
        <v>150</v>
      </c>
      <c r="G780" s="10">
        <v>150</v>
      </c>
      <c r="H780" s="10">
        <v>150</v>
      </c>
      <c r="I780" s="10">
        <v>150</v>
      </c>
      <c r="J780" s="10">
        <v>150</v>
      </c>
      <c r="K780" s="10">
        <v>150</v>
      </c>
      <c r="L780" s="10">
        <v>150</v>
      </c>
      <c r="M780" s="10">
        <v>150</v>
      </c>
      <c r="N780" s="10">
        <f t="shared" si="150"/>
        <v>1800</v>
      </c>
    </row>
    <row r="781" spans="1:14" x14ac:dyDescent="0.2">
      <c r="A781" s="17" t="s">
        <v>486</v>
      </c>
      <c r="B781" s="10">
        <v>31836.74</v>
      </c>
      <c r="C781" s="10">
        <v>31745.61</v>
      </c>
      <c r="D781" s="10">
        <v>46366.21</v>
      </c>
      <c r="E781" s="10">
        <v>46017.07</v>
      </c>
      <c r="F781" s="10">
        <v>35515.47</v>
      </c>
      <c r="G781" s="10">
        <v>30628.98</v>
      </c>
      <c r="H781" s="10">
        <v>27065.279999999999</v>
      </c>
      <c r="I781" s="10">
        <v>27162.7</v>
      </c>
      <c r="J781" s="10">
        <v>38293.480000000003</v>
      </c>
      <c r="K781" s="10">
        <v>34309.17</v>
      </c>
      <c r="L781" s="10">
        <v>34429.35</v>
      </c>
      <c r="M781" s="10">
        <v>30183.66</v>
      </c>
      <c r="N781" s="10">
        <f t="shared" si="150"/>
        <v>413553.71999999991</v>
      </c>
    </row>
    <row r="782" spans="1:14" x14ac:dyDescent="0.2">
      <c r="A782" s="17" t="s">
        <v>487</v>
      </c>
      <c r="B782" s="10">
        <v>0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14.46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f t="shared" si="150"/>
        <v>14.46</v>
      </c>
    </row>
    <row r="783" spans="1:14" x14ac:dyDescent="0.2">
      <c r="A783" s="17" t="s">
        <v>488</v>
      </c>
      <c r="B783" s="10">
        <v>0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-400</v>
      </c>
      <c r="M783" s="10">
        <v>400</v>
      </c>
      <c r="N783" s="10">
        <f t="shared" si="150"/>
        <v>0</v>
      </c>
    </row>
    <row r="784" spans="1:14" x14ac:dyDescent="0.2">
      <c r="A784" s="17" t="s">
        <v>489</v>
      </c>
      <c r="B784" s="10">
        <v>0</v>
      </c>
      <c r="C784" s="10">
        <v>23962.2</v>
      </c>
      <c r="D784" s="10">
        <v>3982.5</v>
      </c>
      <c r="E784" s="10">
        <v>6229.32</v>
      </c>
      <c r="F784" s="10">
        <v>0</v>
      </c>
      <c r="G784" s="10">
        <v>0</v>
      </c>
      <c r="H784" s="10">
        <v>7063.95</v>
      </c>
      <c r="I784" s="10">
        <v>5439.15</v>
      </c>
      <c r="J784" s="10">
        <v>-3684.57</v>
      </c>
      <c r="K784" s="10">
        <v>0</v>
      </c>
      <c r="L784" s="10">
        <v>0</v>
      </c>
      <c r="M784" s="10">
        <v>0</v>
      </c>
      <c r="N784" s="10">
        <f t="shared" si="150"/>
        <v>42992.55</v>
      </c>
    </row>
    <row r="785" spans="1:14" x14ac:dyDescent="0.2">
      <c r="A785" s="17" t="s">
        <v>490</v>
      </c>
      <c r="B785" s="10">
        <v>0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25</v>
      </c>
      <c r="M785" s="10">
        <v>0</v>
      </c>
      <c r="N785" s="10">
        <f t="shared" si="150"/>
        <v>25</v>
      </c>
    </row>
    <row r="786" spans="1:14" x14ac:dyDescent="0.2">
      <c r="A786" s="17" t="s">
        <v>491</v>
      </c>
      <c r="B786" s="10">
        <v>434.02</v>
      </c>
      <c r="C786" s="10">
        <v>344.32</v>
      </c>
      <c r="D786" s="10">
        <v>324.93</v>
      </c>
      <c r="E786" s="10">
        <v>818.96</v>
      </c>
      <c r="F786" s="10">
        <v>302.70999999999998</v>
      </c>
      <c r="G786" s="10">
        <v>503.37</v>
      </c>
      <c r="H786" s="10">
        <v>334.18</v>
      </c>
      <c r="I786" s="10">
        <v>479.19</v>
      </c>
      <c r="J786" s="10">
        <v>93.57</v>
      </c>
      <c r="K786" s="10">
        <v>56.3</v>
      </c>
      <c r="L786" s="10">
        <v>236.9</v>
      </c>
      <c r="M786" s="10">
        <v>859.49</v>
      </c>
      <c r="N786" s="10">
        <f t="shared" si="150"/>
        <v>4787.9400000000005</v>
      </c>
    </row>
    <row r="787" spans="1:14" x14ac:dyDescent="0.2">
      <c r="A787" s="17" t="s">
        <v>492</v>
      </c>
      <c r="B787" s="10">
        <v>637.83000000000004</v>
      </c>
      <c r="C787" s="10">
        <v>1127.1500000000001</v>
      </c>
      <c r="D787" s="10">
        <v>1298.6500000000001</v>
      </c>
      <c r="E787" s="10">
        <v>728.55</v>
      </c>
      <c r="F787" s="10">
        <v>685.71</v>
      </c>
      <c r="G787" s="10">
        <v>827.88</v>
      </c>
      <c r="H787" s="10">
        <v>560.53</v>
      </c>
      <c r="I787" s="10">
        <v>732.67</v>
      </c>
      <c r="J787" s="10">
        <v>681.2</v>
      </c>
      <c r="K787" s="10">
        <v>700.33</v>
      </c>
      <c r="L787" s="10">
        <v>699.46</v>
      </c>
      <c r="M787" s="10">
        <v>822.85</v>
      </c>
      <c r="N787" s="10">
        <f t="shared" si="150"/>
        <v>9502.81</v>
      </c>
    </row>
    <row r="788" spans="1:14" x14ac:dyDescent="0.2">
      <c r="A788" s="17" t="s">
        <v>493</v>
      </c>
      <c r="B788" s="10">
        <v>67.5</v>
      </c>
      <c r="C788" s="10">
        <v>0</v>
      </c>
      <c r="D788" s="10">
        <v>0</v>
      </c>
      <c r="E788" s="10">
        <v>0</v>
      </c>
      <c r="F788" s="10">
        <v>0</v>
      </c>
      <c r="G788" s="10">
        <v>41.86</v>
      </c>
      <c r="H788" s="10">
        <v>47.55</v>
      </c>
      <c r="I788" s="10">
        <v>0</v>
      </c>
      <c r="J788" s="10">
        <v>0</v>
      </c>
      <c r="K788" s="10">
        <v>9.65</v>
      </c>
      <c r="L788" s="10">
        <v>109.7</v>
      </c>
      <c r="M788" s="10">
        <v>24.82</v>
      </c>
      <c r="N788" s="10">
        <f t="shared" si="150"/>
        <v>301.08</v>
      </c>
    </row>
    <row r="789" spans="1:14" x14ac:dyDescent="0.2">
      <c r="A789" s="17" t="s">
        <v>494</v>
      </c>
      <c r="B789" s="10">
        <v>0</v>
      </c>
      <c r="C789" s="10">
        <v>0</v>
      </c>
      <c r="D789" s="10">
        <v>400</v>
      </c>
      <c r="E789" s="10">
        <v>0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f t="shared" si="150"/>
        <v>400</v>
      </c>
    </row>
    <row r="790" spans="1:14" x14ac:dyDescent="0.2">
      <c r="A790" s="17" t="s">
        <v>495</v>
      </c>
      <c r="B790" s="10">
        <v>0</v>
      </c>
      <c r="C790" s="10">
        <v>0</v>
      </c>
      <c r="D790" s="10">
        <v>960</v>
      </c>
      <c r="E790" s="10">
        <v>0</v>
      </c>
      <c r="F790" s="10">
        <v>0</v>
      </c>
      <c r="G790" s="10">
        <v>935.28</v>
      </c>
      <c r="H790" s="10">
        <v>623.52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f t="shared" si="150"/>
        <v>2518.8000000000002</v>
      </c>
    </row>
    <row r="791" spans="1:14" x14ac:dyDescent="0.2">
      <c r="A791" s="17" t="s">
        <v>496</v>
      </c>
      <c r="B791" s="10">
        <v>0</v>
      </c>
      <c r="C791" s="10">
        <v>287.95</v>
      </c>
      <c r="D791" s="10">
        <v>756.71</v>
      </c>
      <c r="E791" s="10">
        <v>0</v>
      </c>
      <c r="F791" s="10">
        <v>0</v>
      </c>
      <c r="G791" s="10">
        <v>0</v>
      </c>
      <c r="H791" s="10">
        <v>177.52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f t="shared" si="150"/>
        <v>1222.18</v>
      </c>
    </row>
    <row r="792" spans="1:14" x14ac:dyDescent="0.2">
      <c r="A792" s="17" t="s">
        <v>497</v>
      </c>
      <c r="B792" s="10">
        <v>0</v>
      </c>
      <c r="C792" s="10">
        <v>0</v>
      </c>
      <c r="D792" s="10">
        <v>0</v>
      </c>
      <c r="E792" s="10">
        <v>0</v>
      </c>
      <c r="F792" s="10">
        <v>0</v>
      </c>
      <c r="G792" s="10">
        <v>109.87</v>
      </c>
      <c r="H792" s="10">
        <v>120.67</v>
      </c>
      <c r="I792" s="10">
        <v>298.92</v>
      </c>
      <c r="J792" s="10">
        <v>-70.88</v>
      </c>
      <c r="K792" s="10">
        <v>0</v>
      </c>
      <c r="L792" s="10">
        <v>54.1</v>
      </c>
      <c r="M792" s="10">
        <v>54</v>
      </c>
      <c r="N792" s="10">
        <f t="shared" si="150"/>
        <v>566.68000000000006</v>
      </c>
    </row>
    <row r="793" spans="1:14" x14ac:dyDescent="0.2">
      <c r="A793" s="17" t="s">
        <v>498</v>
      </c>
      <c r="B793" s="10">
        <v>2394.14</v>
      </c>
      <c r="C793" s="10">
        <v>938.5</v>
      </c>
      <c r="D793" s="10">
        <v>1786.34</v>
      </c>
      <c r="E793" s="10">
        <v>2848.58</v>
      </c>
      <c r="F793" s="10">
        <v>1586.61</v>
      </c>
      <c r="G793" s="10">
        <v>3775</v>
      </c>
      <c r="H793" s="10">
        <v>1805.71</v>
      </c>
      <c r="I793" s="10">
        <v>2431.16</v>
      </c>
      <c r="J793" s="10">
        <v>4144.83</v>
      </c>
      <c r="K793" s="10">
        <v>2147.7399999999998</v>
      </c>
      <c r="L793" s="10">
        <v>4578.8599999999997</v>
      </c>
      <c r="M793" s="10">
        <v>1176.6300000000001</v>
      </c>
      <c r="N793" s="10">
        <f t="shared" si="150"/>
        <v>29614.100000000002</v>
      </c>
    </row>
    <row r="794" spans="1:14" ht="4.95" customHeight="1" x14ac:dyDescent="0.2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spans="1:14" ht="4.95" customHeight="1" x14ac:dyDescent="0.2"/>
    <row r="796" spans="1:14" x14ac:dyDescent="0.2">
      <c r="A796" s="16" t="s">
        <v>137</v>
      </c>
      <c r="B796" s="9">
        <f t="shared" ref="B796:N796" si="151">SUM(B777:B793)</f>
        <v>36230.870000000003</v>
      </c>
      <c r="C796" s="9">
        <f t="shared" si="151"/>
        <v>60116.08</v>
      </c>
      <c r="D796" s="9">
        <f t="shared" si="151"/>
        <v>57274.689999999995</v>
      </c>
      <c r="E796" s="9">
        <f t="shared" si="151"/>
        <v>58933.33</v>
      </c>
      <c r="F796" s="9">
        <f t="shared" si="151"/>
        <v>40590.379999999997</v>
      </c>
      <c r="G796" s="9">
        <f t="shared" si="151"/>
        <v>40407.47</v>
      </c>
      <c r="H796" s="9">
        <f t="shared" si="151"/>
        <v>37624.209999999992</v>
      </c>
      <c r="I796" s="9">
        <f t="shared" si="151"/>
        <v>38604.839999999997</v>
      </c>
      <c r="J796" s="9">
        <f t="shared" si="151"/>
        <v>41018.770000000004</v>
      </c>
      <c r="K796" s="9">
        <f t="shared" si="151"/>
        <v>38975.160000000003</v>
      </c>
      <c r="L796" s="9">
        <f t="shared" si="151"/>
        <v>41270.469999999994</v>
      </c>
      <c r="M796" s="9">
        <f t="shared" si="151"/>
        <v>35074.959999999992</v>
      </c>
      <c r="N796" s="9">
        <f t="shared" si="151"/>
        <v>526121.22999999986</v>
      </c>
    </row>
    <row r="797" spans="1:14" ht="4.95" customHeight="1" x14ac:dyDescent="0.2"/>
    <row r="798" spans="1:14" ht="4.95" customHeight="1" x14ac:dyDescent="0.2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spans="1:14" ht="4.95" customHeight="1" x14ac:dyDescent="0.2"/>
    <row r="800" spans="1:14" x14ac:dyDescent="0.2">
      <c r="A800" s="16" t="s">
        <v>499</v>
      </c>
      <c r="B800" s="9">
        <f t="shared" ref="B800:N800" si="152">B774+B796</f>
        <v>71468.459999999992</v>
      </c>
      <c r="C800" s="9">
        <f t="shared" si="152"/>
        <v>97133.16</v>
      </c>
      <c r="D800" s="9">
        <f t="shared" si="152"/>
        <v>98389.889999999985</v>
      </c>
      <c r="E800" s="9">
        <f t="shared" si="152"/>
        <v>101170.69</v>
      </c>
      <c r="F800" s="9">
        <f t="shared" si="152"/>
        <v>86517.29</v>
      </c>
      <c r="G800" s="9">
        <f t="shared" si="152"/>
        <v>88758.78</v>
      </c>
      <c r="H800" s="9">
        <f t="shared" si="152"/>
        <v>79679.829999999987</v>
      </c>
      <c r="I800" s="9">
        <f t="shared" si="152"/>
        <v>85179.169999999984</v>
      </c>
      <c r="J800" s="9">
        <f t="shared" si="152"/>
        <v>86047.77</v>
      </c>
      <c r="K800" s="9">
        <f t="shared" si="152"/>
        <v>79901.700000000012</v>
      </c>
      <c r="L800" s="9">
        <f t="shared" si="152"/>
        <v>92065.18</v>
      </c>
      <c r="M800" s="9">
        <f t="shared" si="152"/>
        <v>76449.119999999995</v>
      </c>
      <c r="N800" s="9">
        <f t="shared" si="152"/>
        <v>1042761.0399999999</v>
      </c>
    </row>
    <row r="801" spans="1:14" ht="4.95" customHeight="1" x14ac:dyDescent="0.2"/>
    <row r="802" spans="1:14" x14ac:dyDescent="0.2">
      <c r="A802" s="16" t="s">
        <v>500</v>
      </c>
      <c r="B802" s="9">
        <f t="shared" ref="B802:N802" si="153">B800</f>
        <v>71468.459999999992</v>
      </c>
      <c r="C802" s="9">
        <f t="shared" si="153"/>
        <v>97133.16</v>
      </c>
      <c r="D802" s="9">
        <f t="shared" si="153"/>
        <v>98389.889999999985</v>
      </c>
      <c r="E802" s="9">
        <f t="shared" si="153"/>
        <v>101170.69</v>
      </c>
      <c r="F802" s="9">
        <f t="shared" si="153"/>
        <v>86517.29</v>
      </c>
      <c r="G802" s="9">
        <f t="shared" si="153"/>
        <v>88758.78</v>
      </c>
      <c r="H802" s="9">
        <f t="shared" si="153"/>
        <v>79679.829999999987</v>
      </c>
      <c r="I802" s="9">
        <f t="shared" si="153"/>
        <v>85179.169999999984</v>
      </c>
      <c r="J802" s="9">
        <f t="shared" si="153"/>
        <v>86047.77</v>
      </c>
      <c r="K802" s="9">
        <f t="shared" si="153"/>
        <v>79901.700000000012</v>
      </c>
      <c r="L802" s="9">
        <f t="shared" si="153"/>
        <v>92065.18</v>
      </c>
      <c r="M802" s="9">
        <f t="shared" si="153"/>
        <v>76449.119999999995</v>
      </c>
      <c r="N802" s="9">
        <f t="shared" si="153"/>
        <v>1042761.0399999999</v>
      </c>
    </row>
    <row r="803" spans="1:14" ht="4.95" customHeight="1" x14ac:dyDescent="0.2"/>
    <row r="804" spans="1:14" x14ac:dyDescent="0.2">
      <c r="A804" s="16" t="s">
        <v>35</v>
      </c>
    </row>
    <row r="806" spans="1:14" x14ac:dyDescent="0.2">
      <c r="A806" s="16" t="s">
        <v>501</v>
      </c>
    </row>
    <row r="807" spans="1:14" x14ac:dyDescent="0.2">
      <c r="A807" s="16" t="s">
        <v>502</v>
      </c>
    </row>
    <row r="809" spans="1:14" x14ac:dyDescent="0.2">
      <c r="A809" s="16" t="s">
        <v>503</v>
      </c>
    </row>
    <row r="810" spans="1:14" x14ac:dyDescent="0.2">
      <c r="A810" s="17" t="s">
        <v>504</v>
      </c>
      <c r="B810" s="10">
        <v>0</v>
      </c>
      <c r="C810" s="10">
        <v>0</v>
      </c>
      <c r="D810" s="10">
        <v>0</v>
      </c>
      <c r="E810" s="10">
        <v>0</v>
      </c>
      <c r="F810" s="10">
        <v>1928.3</v>
      </c>
      <c r="G810" s="10">
        <v>802.68</v>
      </c>
      <c r="H810" s="10">
        <v>-802.68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f>B810+C810+D810+E810+F810+G810+H810+I810+J810+K810+L810+M810</f>
        <v>1928.3000000000002</v>
      </c>
    </row>
    <row r="811" spans="1:14" x14ac:dyDescent="0.2">
      <c r="A811" s="17" t="s">
        <v>505</v>
      </c>
      <c r="B811" s="10">
        <v>0</v>
      </c>
      <c r="C811" s="10">
        <v>0</v>
      </c>
      <c r="D811" s="10">
        <v>0</v>
      </c>
      <c r="E811" s="10">
        <v>0</v>
      </c>
      <c r="F811" s="10">
        <v>46.44</v>
      </c>
      <c r="G811" s="10">
        <v>55</v>
      </c>
      <c r="H811" s="10">
        <v>1854</v>
      </c>
      <c r="I811" s="10">
        <v>2028.04</v>
      </c>
      <c r="J811" s="10">
        <v>1745.43</v>
      </c>
      <c r="K811" s="10">
        <v>0</v>
      </c>
      <c r="L811" s="10">
        <v>0</v>
      </c>
      <c r="M811" s="10">
        <v>0</v>
      </c>
      <c r="N811" s="10">
        <f>B811+C811+D811+E811+F811+G811+H811+I811+J811+K811+L811+M811</f>
        <v>5728.91</v>
      </c>
    </row>
    <row r="812" spans="1:14" x14ac:dyDescent="0.2">
      <c r="A812" s="16" t="s">
        <v>506</v>
      </c>
      <c r="B812" s="9">
        <f t="shared" ref="B812:N812" si="154">SUM(B810:B811)</f>
        <v>0</v>
      </c>
      <c r="C812" s="9">
        <f t="shared" si="154"/>
        <v>0</v>
      </c>
      <c r="D812" s="9">
        <f t="shared" si="154"/>
        <v>0</v>
      </c>
      <c r="E812" s="9">
        <f t="shared" si="154"/>
        <v>0</v>
      </c>
      <c r="F812" s="9">
        <f t="shared" si="154"/>
        <v>1974.74</v>
      </c>
      <c r="G812" s="9">
        <f t="shared" si="154"/>
        <v>857.68</v>
      </c>
      <c r="H812" s="9">
        <f t="shared" si="154"/>
        <v>1051.3200000000002</v>
      </c>
      <c r="I812" s="9">
        <f t="shared" si="154"/>
        <v>2028.04</v>
      </c>
      <c r="J812" s="9">
        <f t="shared" si="154"/>
        <v>1745.43</v>
      </c>
      <c r="K812" s="9">
        <f t="shared" si="154"/>
        <v>0</v>
      </c>
      <c r="L812" s="9">
        <f t="shared" si="154"/>
        <v>0</v>
      </c>
      <c r="M812" s="9">
        <f t="shared" si="154"/>
        <v>0</v>
      </c>
      <c r="N812" s="9">
        <f t="shared" si="154"/>
        <v>7657.21</v>
      </c>
    </row>
    <row r="814" spans="1:14" x14ac:dyDescent="0.2">
      <c r="A814" s="16" t="s">
        <v>507</v>
      </c>
    </row>
    <row r="815" spans="1:14" x14ac:dyDescent="0.2">
      <c r="A815" s="17" t="s">
        <v>508</v>
      </c>
      <c r="B815" s="10">
        <v>0</v>
      </c>
      <c r="C815" s="10">
        <v>0</v>
      </c>
      <c r="D815" s="10">
        <v>0</v>
      </c>
      <c r="E815" s="10">
        <v>0</v>
      </c>
      <c r="F815" s="10">
        <v>3.35</v>
      </c>
      <c r="G815" s="10">
        <v>4.45</v>
      </c>
      <c r="H815" s="10">
        <v>132.51</v>
      </c>
      <c r="I815" s="10">
        <v>155.63</v>
      </c>
      <c r="J815" s="10">
        <v>203.2</v>
      </c>
      <c r="K815" s="10">
        <v>0</v>
      </c>
      <c r="L815" s="10">
        <v>0</v>
      </c>
      <c r="M815" s="10">
        <v>0</v>
      </c>
      <c r="N815" s="10">
        <f>B815+C815+D815+E815+F815+G815+H815+I815+J815+K815+L815+M815</f>
        <v>499.14</v>
      </c>
    </row>
    <row r="816" spans="1:14" x14ac:dyDescent="0.2">
      <c r="A816" s="17" t="s">
        <v>509</v>
      </c>
      <c r="B816" s="10">
        <v>0</v>
      </c>
      <c r="C816" s="10">
        <v>0</v>
      </c>
      <c r="D816" s="10">
        <v>0</v>
      </c>
      <c r="E816" s="10">
        <v>0</v>
      </c>
      <c r="F816" s="10">
        <v>0.33</v>
      </c>
      <c r="G816" s="10">
        <v>0.4</v>
      </c>
      <c r="H816" s="10">
        <v>13.05</v>
      </c>
      <c r="I816" s="10">
        <v>11.83</v>
      </c>
      <c r="J816" s="10">
        <v>9.69</v>
      </c>
      <c r="K816" s="10">
        <v>0</v>
      </c>
      <c r="L816" s="10">
        <v>0</v>
      </c>
      <c r="M816" s="10">
        <v>0</v>
      </c>
      <c r="N816" s="10">
        <f>B816+C816+D816+E816+F816+G816+H816+I816+J816+K816+L816+M816</f>
        <v>35.299999999999997</v>
      </c>
    </row>
    <row r="817" spans="1:14" x14ac:dyDescent="0.2">
      <c r="A817" s="17" t="s">
        <v>510</v>
      </c>
      <c r="B817" s="10">
        <v>0</v>
      </c>
      <c r="C817" s="10">
        <v>0</v>
      </c>
      <c r="D817" s="10">
        <v>0</v>
      </c>
      <c r="E817" s="10">
        <v>0</v>
      </c>
      <c r="F817" s="10">
        <v>1</v>
      </c>
      <c r="G817" s="10">
        <v>1.1100000000000001</v>
      </c>
      <c r="H817" s="10">
        <v>48.27</v>
      </c>
      <c r="I817" s="10">
        <v>47.94</v>
      </c>
      <c r="J817" s="10">
        <v>24.32</v>
      </c>
      <c r="K817" s="10">
        <v>0</v>
      </c>
      <c r="L817" s="10">
        <v>0</v>
      </c>
      <c r="M817" s="10">
        <v>0</v>
      </c>
      <c r="N817" s="10">
        <f>B817+C817+D817+E817+F817+G817+H817+I817+J817+K817+L817+M817</f>
        <v>122.63999999999999</v>
      </c>
    </row>
    <row r="818" spans="1:14" x14ac:dyDescent="0.2">
      <c r="A818" s="16" t="s">
        <v>511</v>
      </c>
      <c r="B818" s="9">
        <f t="shared" ref="B818:N818" si="155">SUM(B815:B817)</f>
        <v>0</v>
      </c>
      <c r="C818" s="9">
        <f t="shared" si="155"/>
        <v>0</v>
      </c>
      <c r="D818" s="9">
        <f t="shared" si="155"/>
        <v>0</v>
      </c>
      <c r="E818" s="9">
        <f t="shared" si="155"/>
        <v>0</v>
      </c>
      <c r="F818" s="9">
        <f t="shared" si="155"/>
        <v>4.68</v>
      </c>
      <c r="G818" s="9">
        <f t="shared" si="155"/>
        <v>5.9600000000000009</v>
      </c>
      <c r="H818" s="9">
        <f t="shared" si="155"/>
        <v>193.83</v>
      </c>
      <c r="I818" s="9">
        <f t="shared" si="155"/>
        <v>215.4</v>
      </c>
      <c r="J818" s="9">
        <f t="shared" si="155"/>
        <v>237.20999999999998</v>
      </c>
      <c r="K818" s="9">
        <f t="shared" si="155"/>
        <v>0</v>
      </c>
      <c r="L818" s="9">
        <f t="shared" si="155"/>
        <v>0</v>
      </c>
      <c r="M818" s="9">
        <f t="shared" si="155"/>
        <v>0</v>
      </c>
      <c r="N818" s="9">
        <f t="shared" si="155"/>
        <v>657.07999999999993</v>
      </c>
    </row>
    <row r="819" spans="1:14" ht="4.95" customHeight="1" x14ac:dyDescent="0.2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 spans="1:14" ht="4.95" customHeight="1" x14ac:dyDescent="0.2"/>
    <row r="821" spans="1:14" x14ac:dyDescent="0.2">
      <c r="A821" s="16" t="s">
        <v>512</v>
      </c>
      <c r="B821" s="9">
        <f t="shared" ref="B821:N821" si="156">B812+B818</f>
        <v>0</v>
      </c>
      <c r="C821" s="9">
        <f t="shared" si="156"/>
        <v>0</v>
      </c>
      <c r="D821" s="9">
        <f t="shared" si="156"/>
        <v>0</v>
      </c>
      <c r="E821" s="9">
        <f t="shared" si="156"/>
        <v>0</v>
      </c>
      <c r="F821" s="9">
        <f t="shared" si="156"/>
        <v>1979.42</v>
      </c>
      <c r="G821" s="9">
        <f t="shared" si="156"/>
        <v>863.64</v>
      </c>
      <c r="H821" s="9">
        <f t="shared" si="156"/>
        <v>1245.1500000000001</v>
      </c>
      <c r="I821" s="9">
        <f t="shared" si="156"/>
        <v>2243.44</v>
      </c>
      <c r="J821" s="9">
        <f t="shared" si="156"/>
        <v>1982.64</v>
      </c>
      <c r="K821" s="9">
        <f t="shared" si="156"/>
        <v>0</v>
      </c>
      <c r="L821" s="9">
        <f t="shared" si="156"/>
        <v>0</v>
      </c>
      <c r="M821" s="9">
        <f t="shared" si="156"/>
        <v>0</v>
      </c>
      <c r="N821" s="9">
        <f t="shared" si="156"/>
        <v>8314.2900000000009</v>
      </c>
    </row>
    <row r="822" spans="1:14" ht="4.95" customHeight="1" x14ac:dyDescent="0.2"/>
    <row r="823" spans="1:14" x14ac:dyDescent="0.2">
      <c r="A823" s="16" t="s">
        <v>513</v>
      </c>
    </row>
    <row r="824" spans="1:14" x14ac:dyDescent="0.2">
      <c r="A824" s="17" t="s">
        <v>514</v>
      </c>
      <c r="B824" s="10">
        <v>3692.8</v>
      </c>
      <c r="C824" s="10">
        <v>3692.8</v>
      </c>
      <c r="D824" s="10">
        <v>3902.7</v>
      </c>
      <c r="E824" s="10">
        <v>4545.6000000000004</v>
      </c>
      <c r="F824" s="10">
        <v>4119.2</v>
      </c>
      <c r="G824" s="10">
        <v>4119.2</v>
      </c>
      <c r="H824" s="10">
        <v>4119.2</v>
      </c>
      <c r="I824" s="10">
        <v>4119.2</v>
      </c>
      <c r="J824" s="10">
        <v>3159.5</v>
      </c>
      <c r="K824" s="10">
        <v>9292.83</v>
      </c>
      <c r="L824" s="10">
        <v>4332.2</v>
      </c>
      <c r="M824" s="10">
        <v>4242.2</v>
      </c>
      <c r="N824" s="10">
        <f>B824+C824+D824+E824+F824+G824+H824+I824+J824+K824+L824+M824</f>
        <v>53337.429999999993</v>
      </c>
    </row>
    <row r="825" spans="1:14" ht="4.95" customHeight="1" x14ac:dyDescent="0.2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r="826" spans="1:14" ht="4.95" customHeight="1" x14ac:dyDescent="0.2"/>
    <row r="827" spans="1:14" x14ac:dyDescent="0.2">
      <c r="A827" s="16" t="s">
        <v>515</v>
      </c>
      <c r="B827" s="9">
        <f t="shared" ref="B827:N827" si="157">B824</f>
        <v>3692.8</v>
      </c>
      <c r="C827" s="9">
        <f t="shared" si="157"/>
        <v>3692.8</v>
      </c>
      <c r="D827" s="9">
        <f t="shared" si="157"/>
        <v>3902.7</v>
      </c>
      <c r="E827" s="9">
        <f t="shared" si="157"/>
        <v>4545.6000000000004</v>
      </c>
      <c r="F827" s="9">
        <f t="shared" si="157"/>
        <v>4119.2</v>
      </c>
      <c r="G827" s="9">
        <f t="shared" si="157"/>
        <v>4119.2</v>
      </c>
      <c r="H827" s="9">
        <f t="shared" si="157"/>
        <v>4119.2</v>
      </c>
      <c r="I827" s="9">
        <f t="shared" si="157"/>
        <v>4119.2</v>
      </c>
      <c r="J827" s="9">
        <f t="shared" si="157"/>
        <v>3159.5</v>
      </c>
      <c r="K827" s="9">
        <f t="shared" si="157"/>
        <v>9292.83</v>
      </c>
      <c r="L827" s="9">
        <f t="shared" si="157"/>
        <v>4332.2</v>
      </c>
      <c r="M827" s="9">
        <f t="shared" si="157"/>
        <v>4242.2</v>
      </c>
      <c r="N827" s="9">
        <f t="shared" si="157"/>
        <v>53337.429999999993</v>
      </c>
    </row>
    <row r="828" spans="1:14" ht="4.95" customHeight="1" x14ac:dyDescent="0.2"/>
    <row r="829" spans="1:14" x14ac:dyDescent="0.2">
      <c r="A829" s="16" t="s">
        <v>114</v>
      </c>
    </row>
    <row r="830" spans="1:14" x14ac:dyDescent="0.2">
      <c r="A830" s="17" t="s">
        <v>516</v>
      </c>
      <c r="B830" s="10">
        <v>2412.7199999999998</v>
      </c>
      <c r="C830" s="10">
        <v>2417.11</v>
      </c>
      <c r="D830" s="10">
        <v>2420.31</v>
      </c>
      <c r="E830" s="10">
        <v>2420.33</v>
      </c>
      <c r="F830" s="10">
        <v>6250.18</v>
      </c>
      <c r="G830" s="10">
        <v>4622.3900000000003</v>
      </c>
      <c r="H830" s="10">
        <v>1729.71</v>
      </c>
      <c r="I830" s="10">
        <v>2754.72</v>
      </c>
      <c r="J830" s="10">
        <v>2756.93</v>
      </c>
      <c r="K830" s="10">
        <v>2763.59</v>
      </c>
      <c r="L830" s="10">
        <v>2763.59</v>
      </c>
      <c r="M830" s="10">
        <v>2878.89</v>
      </c>
      <c r="N830" s="10">
        <f>B830+C830+D830+E830+F830+G830+H830+I830+J830+K830+L830+M830</f>
        <v>36190.47</v>
      </c>
    </row>
    <row r="831" spans="1:14" ht="4.95" customHeight="1" x14ac:dyDescent="0.2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r="832" spans="1:14" ht="4.95" customHeight="1" x14ac:dyDescent="0.2"/>
    <row r="833" spans="1:14" x14ac:dyDescent="0.2">
      <c r="A833" s="16" t="s">
        <v>137</v>
      </c>
      <c r="B833" s="9">
        <f t="shared" ref="B833:N833" si="158">B830</f>
        <v>2412.7199999999998</v>
      </c>
      <c r="C833" s="9">
        <f t="shared" si="158"/>
        <v>2417.11</v>
      </c>
      <c r="D833" s="9">
        <f t="shared" si="158"/>
        <v>2420.31</v>
      </c>
      <c r="E833" s="9">
        <f t="shared" si="158"/>
        <v>2420.33</v>
      </c>
      <c r="F833" s="9">
        <f t="shared" si="158"/>
        <v>6250.18</v>
      </c>
      <c r="G833" s="9">
        <f t="shared" si="158"/>
        <v>4622.3900000000003</v>
      </c>
      <c r="H833" s="9">
        <f t="shared" si="158"/>
        <v>1729.71</v>
      </c>
      <c r="I833" s="9">
        <f t="shared" si="158"/>
        <v>2754.72</v>
      </c>
      <c r="J833" s="9">
        <f t="shared" si="158"/>
        <v>2756.93</v>
      </c>
      <c r="K833" s="9">
        <f t="shared" si="158"/>
        <v>2763.59</v>
      </c>
      <c r="L833" s="9">
        <f t="shared" si="158"/>
        <v>2763.59</v>
      </c>
      <c r="M833" s="9">
        <f t="shared" si="158"/>
        <v>2878.89</v>
      </c>
      <c r="N833" s="9">
        <f t="shared" si="158"/>
        <v>36190.47</v>
      </c>
    </row>
    <row r="834" spans="1:14" ht="4.95" customHeight="1" x14ac:dyDescent="0.2"/>
    <row r="835" spans="1:14" ht="4.95" customHeight="1" x14ac:dyDescent="0.2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r="836" spans="1:14" ht="4.95" customHeight="1" x14ac:dyDescent="0.2"/>
    <row r="837" spans="1:14" x14ac:dyDescent="0.2">
      <c r="A837" s="16" t="s">
        <v>517</v>
      </c>
      <c r="B837" s="9">
        <f t="shared" ref="B837:N837" si="159">B821+B827+B833</f>
        <v>6105.52</v>
      </c>
      <c r="C837" s="9">
        <f t="shared" si="159"/>
        <v>6109.91</v>
      </c>
      <c r="D837" s="9">
        <f t="shared" si="159"/>
        <v>6323.01</v>
      </c>
      <c r="E837" s="9">
        <f t="shared" si="159"/>
        <v>6965.93</v>
      </c>
      <c r="F837" s="9">
        <f t="shared" si="159"/>
        <v>12348.8</v>
      </c>
      <c r="G837" s="9">
        <f t="shared" si="159"/>
        <v>9605.23</v>
      </c>
      <c r="H837" s="9">
        <f t="shared" si="159"/>
        <v>7094.06</v>
      </c>
      <c r="I837" s="9">
        <f t="shared" si="159"/>
        <v>9117.3599999999988</v>
      </c>
      <c r="J837" s="9">
        <f t="shared" si="159"/>
        <v>7899.07</v>
      </c>
      <c r="K837" s="9">
        <f t="shared" si="159"/>
        <v>12056.42</v>
      </c>
      <c r="L837" s="9">
        <f t="shared" si="159"/>
        <v>7095.79</v>
      </c>
      <c r="M837" s="9">
        <f t="shared" si="159"/>
        <v>7121.09</v>
      </c>
      <c r="N837" s="9">
        <f t="shared" si="159"/>
        <v>97842.19</v>
      </c>
    </row>
    <row r="839" spans="1:14" x14ac:dyDescent="0.2">
      <c r="A839" s="16" t="s">
        <v>501</v>
      </c>
    </row>
    <row r="840" spans="1:14" x14ac:dyDescent="0.2">
      <c r="A840" s="17" t="s">
        <v>518</v>
      </c>
      <c r="B840" s="10">
        <v>2901.38</v>
      </c>
      <c r="C840" s="10">
        <v>2894.8</v>
      </c>
      <c r="D840" s="10">
        <v>2898.44</v>
      </c>
      <c r="E840" s="10">
        <v>2901.63</v>
      </c>
      <c r="F840" s="10">
        <v>2872.01</v>
      </c>
      <c r="G840" s="10">
        <v>2868.84</v>
      </c>
      <c r="H840" s="10">
        <v>2902.96</v>
      </c>
      <c r="I840" s="10">
        <v>2910.24</v>
      </c>
      <c r="J840" s="10">
        <v>2934.69</v>
      </c>
      <c r="K840" s="10">
        <v>2926.2</v>
      </c>
      <c r="L840" s="10">
        <v>2984.42</v>
      </c>
      <c r="M840" s="10">
        <v>2983.51</v>
      </c>
      <c r="N840" s="10">
        <f>B840+C840+D840+E840+F840+G840+H840+I840+J840+K840+L840+M840</f>
        <v>34979.119999999995</v>
      </c>
    </row>
    <row r="841" spans="1:14" x14ac:dyDescent="0.2">
      <c r="A841" s="17" t="s">
        <v>519</v>
      </c>
      <c r="B841" s="10">
        <v>400</v>
      </c>
      <c r="C841" s="10">
        <v>400</v>
      </c>
      <c r="D841" s="10">
        <v>400</v>
      </c>
      <c r="E841" s="10">
        <v>400</v>
      </c>
      <c r="F841" s="10">
        <v>400</v>
      </c>
      <c r="G841" s="10">
        <v>400</v>
      </c>
      <c r="H841" s="10">
        <v>400</v>
      </c>
      <c r="I841" s="10">
        <v>400</v>
      </c>
      <c r="J841" s="10">
        <v>400</v>
      </c>
      <c r="K841" s="10">
        <v>400</v>
      </c>
      <c r="L841" s="10">
        <v>400</v>
      </c>
      <c r="M841" s="10">
        <v>400</v>
      </c>
      <c r="N841" s="10">
        <f>B841+C841+D841+E841+F841+G841+H841+I841+J841+K841+L841+M841</f>
        <v>4800</v>
      </c>
    </row>
    <row r="842" spans="1:14" x14ac:dyDescent="0.2">
      <c r="A842" s="17" t="s">
        <v>520</v>
      </c>
      <c r="B842" s="10">
        <v>650</v>
      </c>
      <c r="C842" s="10">
        <v>650</v>
      </c>
      <c r="D842" s="10">
        <v>650</v>
      </c>
      <c r="E842" s="10">
        <v>650</v>
      </c>
      <c r="F842" s="10">
        <v>650</v>
      </c>
      <c r="G842" s="10">
        <v>650</v>
      </c>
      <c r="H842" s="10">
        <v>650</v>
      </c>
      <c r="I842" s="10">
        <v>650</v>
      </c>
      <c r="J842" s="10">
        <v>650</v>
      </c>
      <c r="K842" s="10">
        <v>650</v>
      </c>
      <c r="L842" s="10">
        <v>650</v>
      </c>
      <c r="M842" s="10">
        <v>650</v>
      </c>
      <c r="N842" s="10">
        <f>B842+C842+D842+E842+F842+G842+H842+I842+J842+K842+L842+M842</f>
        <v>7800</v>
      </c>
    </row>
    <row r="843" spans="1:14" ht="4.95" customHeight="1" x14ac:dyDescent="0.2"/>
    <row r="844" spans="1:14" ht="4.95" customHeight="1" x14ac:dyDescent="0.2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r="845" spans="1:14" ht="4.95" customHeight="1" x14ac:dyDescent="0.2"/>
    <row r="846" spans="1:14" x14ac:dyDescent="0.2">
      <c r="A846" s="16" t="s">
        <v>517</v>
      </c>
      <c r="B846" s="9">
        <f t="shared" ref="B846:N846" si="160">SUM(B840:B842)</f>
        <v>3951.38</v>
      </c>
      <c r="C846" s="9">
        <f t="shared" si="160"/>
        <v>3944.8</v>
      </c>
      <c r="D846" s="9">
        <f t="shared" si="160"/>
        <v>3948.44</v>
      </c>
      <c r="E846" s="9">
        <f t="shared" si="160"/>
        <v>3951.63</v>
      </c>
      <c r="F846" s="9">
        <f t="shared" si="160"/>
        <v>3922.01</v>
      </c>
      <c r="G846" s="9">
        <f t="shared" si="160"/>
        <v>3918.84</v>
      </c>
      <c r="H846" s="9">
        <f t="shared" si="160"/>
        <v>3952.96</v>
      </c>
      <c r="I846" s="9">
        <f t="shared" si="160"/>
        <v>3960.24</v>
      </c>
      <c r="J846" s="9">
        <f t="shared" si="160"/>
        <v>3984.69</v>
      </c>
      <c r="K846" s="9">
        <f t="shared" si="160"/>
        <v>3976.2</v>
      </c>
      <c r="L846" s="9">
        <f t="shared" si="160"/>
        <v>4034.42</v>
      </c>
      <c r="M846" s="9">
        <f t="shared" si="160"/>
        <v>4033.51</v>
      </c>
      <c r="N846" s="9">
        <f t="shared" si="160"/>
        <v>47579.119999999995</v>
      </c>
    </row>
    <row r="847" spans="1:14" ht="4.95" customHeight="1" x14ac:dyDescent="0.2"/>
    <row r="848" spans="1:14" x14ac:dyDescent="0.2">
      <c r="A848" s="16" t="s">
        <v>521</v>
      </c>
      <c r="B848" s="9">
        <f t="shared" ref="B848:N848" si="161">B837+B846</f>
        <v>10056.900000000001</v>
      </c>
      <c r="C848" s="9">
        <f t="shared" si="161"/>
        <v>10054.709999999999</v>
      </c>
      <c r="D848" s="9">
        <f t="shared" si="161"/>
        <v>10271.450000000001</v>
      </c>
      <c r="E848" s="9">
        <f t="shared" si="161"/>
        <v>10917.560000000001</v>
      </c>
      <c r="F848" s="9">
        <f t="shared" si="161"/>
        <v>16270.81</v>
      </c>
      <c r="G848" s="9">
        <f t="shared" si="161"/>
        <v>13524.07</v>
      </c>
      <c r="H848" s="9">
        <f t="shared" si="161"/>
        <v>11047.02</v>
      </c>
      <c r="I848" s="9">
        <f t="shared" si="161"/>
        <v>13077.599999999999</v>
      </c>
      <c r="J848" s="9">
        <f t="shared" si="161"/>
        <v>11883.76</v>
      </c>
      <c r="K848" s="9">
        <f t="shared" si="161"/>
        <v>16032.619999999999</v>
      </c>
      <c r="L848" s="9">
        <f t="shared" si="161"/>
        <v>11130.21</v>
      </c>
      <c r="M848" s="9">
        <f t="shared" si="161"/>
        <v>11154.6</v>
      </c>
      <c r="N848" s="9">
        <f t="shared" si="161"/>
        <v>145421.31</v>
      </c>
    </row>
    <row r="849" spans="1:14" ht="4.95" customHeight="1" x14ac:dyDescent="0.2"/>
    <row r="850" spans="1:14" x14ac:dyDescent="0.2">
      <c r="A850" s="16" t="s">
        <v>36</v>
      </c>
    </row>
    <row r="852" spans="1:14" x14ac:dyDescent="0.2">
      <c r="A852" s="16" t="s">
        <v>522</v>
      </c>
    </row>
    <row r="853" spans="1:14" x14ac:dyDescent="0.2">
      <c r="A853" s="16" t="s">
        <v>523</v>
      </c>
    </row>
    <row r="855" spans="1:14" x14ac:dyDescent="0.2">
      <c r="A855" s="16" t="s">
        <v>524</v>
      </c>
    </row>
    <row r="856" spans="1:14" x14ac:dyDescent="0.2">
      <c r="A856" s="16" t="s">
        <v>525</v>
      </c>
    </row>
    <row r="857" spans="1:14" x14ac:dyDescent="0.2">
      <c r="A857" s="17" t="s">
        <v>526</v>
      </c>
      <c r="B857" s="10">
        <v>15872.24</v>
      </c>
      <c r="C857" s="10">
        <v>8755.84</v>
      </c>
      <c r="D857" s="10">
        <v>7230.48</v>
      </c>
      <c r="E857" s="10">
        <v>10461.120000000001</v>
      </c>
      <c r="F857" s="10">
        <v>13384.08</v>
      </c>
      <c r="G857" s="10">
        <v>16614.72</v>
      </c>
      <c r="H857" s="10">
        <v>15076.32</v>
      </c>
      <c r="I857" s="10">
        <v>17691.599999999999</v>
      </c>
      <c r="J857" s="10">
        <v>14060.24</v>
      </c>
      <c r="K857" s="10">
        <v>19088.64</v>
      </c>
      <c r="L857" s="10">
        <v>16667.52</v>
      </c>
      <c r="M857" s="10">
        <v>15716.64</v>
      </c>
      <c r="N857" s="10">
        <f>B857+C857+D857+E857+F857+G857+H857+I857+J857+K857+L857+M857</f>
        <v>170619.44</v>
      </c>
    </row>
    <row r="858" spans="1:14" x14ac:dyDescent="0.2">
      <c r="A858" s="16" t="s">
        <v>527</v>
      </c>
      <c r="B858" s="9">
        <f t="shared" ref="B858:N858" si="162">B857</f>
        <v>15872.24</v>
      </c>
      <c r="C858" s="9">
        <f t="shared" si="162"/>
        <v>8755.84</v>
      </c>
      <c r="D858" s="9">
        <f t="shared" si="162"/>
        <v>7230.48</v>
      </c>
      <c r="E858" s="9">
        <f t="shared" si="162"/>
        <v>10461.120000000001</v>
      </c>
      <c r="F858" s="9">
        <f t="shared" si="162"/>
        <v>13384.08</v>
      </c>
      <c r="G858" s="9">
        <f t="shared" si="162"/>
        <v>16614.72</v>
      </c>
      <c r="H858" s="9">
        <f t="shared" si="162"/>
        <v>15076.32</v>
      </c>
      <c r="I858" s="9">
        <f t="shared" si="162"/>
        <v>17691.599999999999</v>
      </c>
      <c r="J858" s="9">
        <f t="shared" si="162"/>
        <v>14060.24</v>
      </c>
      <c r="K858" s="9">
        <f t="shared" si="162"/>
        <v>19088.64</v>
      </c>
      <c r="L858" s="9">
        <f t="shared" si="162"/>
        <v>16667.52</v>
      </c>
      <c r="M858" s="9">
        <f t="shared" si="162"/>
        <v>15716.64</v>
      </c>
      <c r="N858" s="9">
        <f t="shared" si="162"/>
        <v>170619.44</v>
      </c>
    </row>
    <row r="860" spans="1:14" x14ac:dyDescent="0.2">
      <c r="A860" s="16" t="s">
        <v>528</v>
      </c>
    </row>
    <row r="861" spans="1:14" x14ac:dyDescent="0.2">
      <c r="A861" s="17" t="s">
        <v>529</v>
      </c>
      <c r="B861" s="10">
        <v>18173.28</v>
      </c>
      <c r="C861" s="10">
        <v>15000</v>
      </c>
      <c r="D861" s="10">
        <v>17000</v>
      </c>
      <c r="E861" s="10">
        <v>14250</v>
      </c>
      <c r="F861" s="10">
        <v>15365.44</v>
      </c>
      <c r="G861" s="10">
        <v>20500</v>
      </c>
      <c r="H861" s="10">
        <v>18153.919999999998</v>
      </c>
      <c r="I861" s="10">
        <v>21750</v>
      </c>
      <c r="J861" s="10">
        <v>19928.64</v>
      </c>
      <c r="K861" s="10">
        <v>21738.799999999999</v>
      </c>
      <c r="L861" s="10">
        <v>16219.6</v>
      </c>
      <c r="M861" s="10">
        <v>14832.88</v>
      </c>
      <c r="N861" s="10">
        <f>B861+C861+D861+E861+F861+G861+H861+I861+J861+K861+L861+M861</f>
        <v>212912.56000000003</v>
      </c>
    </row>
    <row r="862" spans="1:14" x14ac:dyDescent="0.2">
      <c r="A862" s="16" t="s">
        <v>530</v>
      </c>
      <c r="B862" s="9">
        <f t="shared" ref="B862:N862" si="163">B861</f>
        <v>18173.28</v>
      </c>
      <c r="C862" s="9">
        <f t="shared" si="163"/>
        <v>15000</v>
      </c>
      <c r="D862" s="9">
        <f t="shared" si="163"/>
        <v>17000</v>
      </c>
      <c r="E862" s="9">
        <f t="shared" si="163"/>
        <v>14250</v>
      </c>
      <c r="F862" s="9">
        <f t="shared" si="163"/>
        <v>15365.44</v>
      </c>
      <c r="G862" s="9">
        <f t="shared" si="163"/>
        <v>20500</v>
      </c>
      <c r="H862" s="9">
        <f t="shared" si="163"/>
        <v>18153.919999999998</v>
      </c>
      <c r="I862" s="9">
        <f t="shared" si="163"/>
        <v>21750</v>
      </c>
      <c r="J862" s="9">
        <f t="shared" si="163"/>
        <v>19928.64</v>
      </c>
      <c r="K862" s="9">
        <f t="shared" si="163"/>
        <v>21738.799999999999</v>
      </c>
      <c r="L862" s="9">
        <f t="shared" si="163"/>
        <v>16219.6</v>
      </c>
      <c r="M862" s="9">
        <f t="shared" si="163"/>
        <v>14832.88</v>
      </c>
      <c r="N862" s="9">
        <f t="shared" si="163"/>
        <v>212912.56000000003</v>
      </c>
    </row>
    <row r="863" spans="1:14" x14ac:dyDescent="0.2">
      <c r="A863" s="16" t="s">
        <v>531</v>
      </c>
      <c r="B863" s="9">
        <f t="shared" ref="B863:N863" si="164">B858+B862</f>
        <v>34045.519999999997</v>
      </c>
      <c r="C863" s="9">
        <f t="shared" si="164"/>
        <v>23755.84</v>
      </c>
      <c r="D863" s="9">
        <f t="shared" si="164"/>
        <v>24230.48</v>
      </c>
      <c r="E863" s="9">
        <f t="shared" si="164"/>
        <v>24711.120000000003</v>
      </c>
      <c r="F863" s="9">
        <f t="shared" si="164"/>
        <v>28749.52</v>
      </c>
      <c r="G863" s="9">
        <f t="shared" si="164"/>
        <v>37114.720000000001</v>
      </c>
      <c r="H863" s="9">
        <f t="shared" si="164"/>
        <v>33230.239999999998</v>
      </c>
      <c r="I863" s="9">
        <f t="shared" si="164"/>
        <v>39441.599999999999</v>
      </c>
      <c r="J863" s="9">
        <f t="shared" si="164"/>
        <v>33988.879999999997</v>
      </c>
      <c r="K863" s="9">
        <f t="shared" si="164"/>
        <v>40827.440000000002</v>
      </c>
      <c r="L863" s="9">
        <f t="shared" si="164"/>
        <v>32887.120000000003</v>
      </c>
      <c r="M863" s="9">
        <f t="shared" si="164"/>
        <v>30549.519999999997</v>
      </c>
      <c r="N863" s="9">
        <f t="shared" si="164"/>
        <v>383532</v>
      </c>
    </row>
    <row r="865" spans="1:14" x14ac:dyDescent="0.2">
      <c r="A865" s="16" t="s">
        <v>532</v>
      </c>
    </row>
    <row r="866" spans="1:14" x14ac:dyDescent="0.2">
      <c r="A866" s="17" t="s">
        <v>533</v>
      </c>
      <c r="B866" s="10">
        <v>0</v>
      </c>
      <c r="C866" s="10">
        <v>0</v>
      </c>
      <c r="D866" s="10">
        <v>9417</v>
      </c>
      <c r="E866" s="10">
        <v>0</v>
      </c>
      <c r="F866" s="10">
        <v>0</v>
      </c>
      <c r="G866" s="10">
        <v>4293.26</v>
      </c>
      <c r="H866" s="10">
        <v>0</v>
      </c>
      <c r="I866" s="10">
        <v>0</v>
      </c>
      <c r="J866" s="10">
        <v>5300.8</v>
      </c>
      <c r="K866" s="10">
        <v>0</v>
      </c>
      <c r="L866" s="10">
        <v>7017.18</v>
      </c>
      <c r="M866" s="10">
        <v>1295.8399999999999</v>
      </c>
      <c r="N866" s="10">
        <f t="shared" ref="N866:N872" si="165">B866+C866+D866+E866+F866+G866+H866+I866+J866+K866+L866+M866</f>
        <v>27324.080000000002</v>
      </c>
    </row>
    <row r="867" spans="1:14" x14ac:dyDescent="0.2">
      <c r="A867" s="17" t="s">
        <v>534</v>
      </c>
      <c r="B867" s="10">
        <v>3972.21</v>
      </c>
      <c r="C867" s="10">
        <v>3007.71</v>
      </c>
      <c r="D867" s="10">
        <v>1908.73</v>
      </c>
      <c r="E867" s="10">
        <v>2980.47</v>
      </c>
      <c r="F867" s="10">
        <v>2073.9</v>
      </c>
      <c r="G867" s="10">
        <v>3004.5</v>
      </c>
      <c r="H867" s="10">
        <v>2375.1</v>
      </c>
      <c r="I867" s="10">
        <v>3026.72</v>
      </c>
      <c r="J867" s="10">
        <v>3956.88</v>
      </c>
      <c r="K867" s="10">
        <v>2877.7</v>
      </c>
      <c r="L867" s="10">
        <v>2649.27</v>
      </c>
      <c r="M867" s="10">
        <v>2012.97</v>
      </c>
      <c r="N867" s="10">
        <f t="shared" si="165"/>
        <v>33846.159999999996</v>
      </c>
    </row>
    <row r="868" spans="1:14" x14ac:dyDescent="0.2">
      <c r="A868" s="17" t="s">
        <v>535</v>
      </c>
      <c r="B868" s="10">
        <v>259.45</v>
      </c>
      <c r="C868" s="10">
        <v>188.41</v>
      </c>
      <c r="D868" s="10">
        <v>158.87</v>
      </c>
      <c r="E868" s="10">
        <v>159.72999999999999</v>
      </c>
      <c r="F868" s="10">
        <v>204.15</v>
      </c>
      <c r="G868" s="10">
        <v>270.52</v>
      </c>
      <c r="H868" s="10">
        <v>233.94</v>
      </c>
      <c r="I868" s="10">
        <v>230.12</v>
      </c>
      <c r="J868" s="10">
        <v>188.66</v>
      </c>
      <c r="K868" s="10">
        <v>200.54</v>
      </c>
      <c r="L868" s="10">
        <v>181.23</v>
      </c>
      <c r="M868" s="10">
        <v>165.32</v>
      </c>
      <c r="N868" s="10">
        <f t="shared" si="165"/>
        <v>2440.9400000000005</v>
      </c>
    </row>
    <row r="869" spans="1:14" x14ac:dyDescent="0.2">
      <c r="A869" s="17" t="s">
        <v>536</v>
      </c>
      <c r="B869" s="10">
        <v>509.84</v>
      </c>
      <c r="C869" s="10">
        <v>640.79999999999995</v>
      </c>
      <c r="D869" s="10">
        <v>451.13</v>
      </c>
      <c r="E869" s="10">
        <v>293.55</v>
      </c>
      <c r="F869" s="10">
        <v>617.24</v>
      </c>
      <c r="G869" s="10">
        <v>748.9</v>
      </c>
      <c r="H869" s="10">
        <v>865.18</v>
      </c>
      <c r="I869" s="10">
        <v>932.32</v>
      </c>
      <c r="J869" s="10">
        <v>473.63</v>
      </c>
      <c r="K869" s="10">
        <v>1060.83</v>
      </c>
      <c r="L869" s="10">
        <v>818.86</v>
      </c>
      <c r="M869" s="10">
        <v>776.95</v>
      </c>
      <c r="N869" s="10">
        <f t="shared" si="165"/>
        <v>8189.23</v>
      </c>
    </row>
    <row r="870" spans="1:14" x14ac:dyDescent="0.2">
      <c r="A870" s="17" t="s">
        <v>537</v>
      </c>
      <c r="B870" s="10">
        <v>0</v>
      </c>
      <c r="C870" s="10">
        <v>5030.16</v>
      </c>
      <c r="D870" s="10">
        <v>0</v>
      </c>
      <c r="E870" s="10">
        <v>500</v>
      </c>
      <c r="F870" s="10">
        <v>461.52</v>
      </c>
      <c r="G870" s="10">
        <v>0</v>
      </c>
      <c r="H870" s="10">
        <v>1846.08</v>
      </c>
      <c r="I870" s="10">
        <v>0</v>
      </c>
      <c r="J870" s="10">
        <v>0</v>
      </c>
      <c r="K870" s="10">
        <v>0</v>
      </c>
      <c r="L870" s="10">
        <v>2478.64</v>
      </c>
      <c r="M870" s="10">
        <v>2401.92</v>
      </c>
      <c r="N870" s="10">
        <f t="shared" si="165"/>
        <v>12718.32</v>
      </c>
    </row>
    <row r="871" spans="1:14" x14ac:dyDescent="0.2">
      <c r="A871" s="17" t="s">
        <v>538</v>
      </c>
      <c r="B871" s="10">
        <v>479.12</v>
      </c>
      <c r="C871" s="10">
        <v>0</v>
      </c>
      <c r="D871" s="10">
        <v>250</v>
      </c>
      <c r="E871" s="10">
        <v>0</v>
      </c>
      <c r="F871" s="10">
        <v>673.04</v>
      </c>
      <c r="G871" s="10">
        <v>0</v>
      </c>
      <c r="H871" s="10">
        <v>0</v>
      </c>
      <c r="I871" s="10">
        <v>750</v>
      </c>
      <c r="J871" s="10">
        <v>211.52</v>
      </c>
      <c r="K871" s="10">
        <v>257.52</v>
      </c>
      <c r="L871" s="10">
        <v>1448.56</v>
      </c>
      <c r="M871" s="10">
        <v>547.12</v>
      </c>
      <c r="N871" s="10">
        <f t="shared" si="165"/>
        <v>4616.88</v>
      </c>
    </row>
    <row r="872" spans="1:14" x14ac:dyDescent="0.2">
      <c r="A872" s="17" t="s">
        <v>539</v>
      </c>
      <c r="B872" s="10">
        <v>1881.28</v>
      </c>
      <c r="C872" s="10">
        <v>0</v>
      </c>
      <c r="D872" s="10">
        <v>0</v>
      </c>
      <c r="E872" s="10">
        <v>250</v>
      </c>
      <c r="F872" s="10">
        <v>0</v>
      </c>
      <c r="G872" s="10">
        <v>1057.68</v>
      </c>
      <c r="H872" s="10">
        <v>1519.2</v>
      </c>
      <c r="I872" s="10">
        <v>596.16</v>
      </c>
      <c r="J872" s="10">
        <v>2377.92</v>
      </c>
      <c r="K872" s="10">
        <v>250</v>
      </c>
      <c r="L872" s="10">
        <v>1658.96</v>
      </c>
      <c r="M872" s="10">
        <v>217.92</v>
      </c>
      <c r="N872" s="10">
        <f t="shared" si="165"/>
        <v>9809.1200000000008</v>
      </c>
    </row>
    <row r="873" spans="1:14" x14ac:dyDescent="0.2">
      <c r="A873" s="16" t="s">
        <v>540</v>
      </c>
      <c r="B873" s="9">
        <f t="shared" ref="B873:N873" si="166">SUM(B866:B872)</f>
        <v>7101.9</v>
      </c>
      <c r="C873" s="9">
        <f t="shared" si="166"/>
        <v>8867.08</v>
      </c>
      <c r="D873" s="9">
        <f t="shared" si="166"/>
        <v>12185.73</v>
      </c>
      <c r="E873" s="9">
        <f t="shared" si="166"/>
        <v>4183.75</v>
      </c>
      <c r="F873" s="9">
        <f t="shared" si="166"/>
        <v>4029.85</v>
      </c>
      <c r="G873" s="9">
        <f t="shared" si="166"/>
        <v>9374.86</v>
      </c>
      <c r="H873" s="9">
        <f t="shared" si="166"/>
        <v>6839.4999999999991</v>
      </c>
      <c r="I873" s="9">
        <f t="shared" si="166"/>
        <v>5535.32</v>
      </c>
      <c r="J873" s="9">
        <f t="shared" si="166"/>
        <v>12509.41</v>
      </c>
      <c r="K873" s="9">
        <f t="shared" si="166"/>
        <v>4646.59</v>
      </c>
      <c r="L873" s="9">
        <f t="shared" si="166"/>
        <v>16252.7</v>
      </c>
      <c r="M873" s="9">
        <f t="shared" si="166"/>
        <v>7418.04</v>
      </c>
      <c r="N873" s="9">
        <f t="shared" si="166"/>
        <v>98944.73000000001</v>
      </c>
    </row>
    <row r="874" spans="1:14" ht="4.95" customHeight="1" x14ac:dyDescent="0.2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spans="1:14" ht="4.95" customHeight="1" x14ac:dyDescent="0.2"/>
    <row r="876" spans="1:14" x14ac:dyDescent="0.2">
      <c r="A876" s="16" t="s">
        <v>541</v>
      </c>
      <c r="B876" s="9">
        <f t="shared" ref="B876:N876" si="167">B863+B873</f>
        <v>41147.42</v>
      </c>
      <c r="C876" s="9">
        <f t="shared" si="167"/>
        <v>32622.92</v>
      </c>
      <c r="D876" s="9">
        <f t="shared" si="167"/>
        <v>36416.21</v>
      </c>
      <c r="E876" s="9">
        <f t="shared" si="167"/>
        <v>28894.870000000003</v>
      </c>
      <c r="F876" s="9">
        <f t="shared" si="167"/>
        <v>32779.370000000003</v>
      </c>
      <c r="G876" s="9">
        <f t="shared" si="167"/>
        <v>46489.58</v>
      </c>
      <c r="H876" s="9">
        <f t="shared" si="167"/>
        <v>40069.74</v>
      </c>
      <c r="I876" s="9">
        <f t="shared" si="167"/>
        <v>44976.92</v>
      </c>
      <c r="J876" s="9">
        <f t="shared" si="167"/>
        <v>46498.289999999994</v>
      </c>
      <c r="K876" s="9">
        <f t="shared" si="167"/>
        <v>45474.03</v>
      </c>
      <c r="L876" s="9">
        <f t="shared" si="167"/>
        <v>49139.820000000007</v>
      </c>
      <c r="M876" s="9">
        <f t="shared" si="167"/>
        <v>37967.56</v>
      </c>
      <c r="N876" s="9">
        <f t="shared" si="167"/>
        <v>482476.73</v>
      </c>
    </row>
    <row r="877" spans="1:14" ht="4.95" customHeight="1" x14ac:dyDescent="0.2"/>
    <row r="878" spans="1:14" x14ac:dyDescent="0.2">
      <c r="A878" s="16" t="s">
        <v>114</v>
      </c>
    </row>
    <row r="879" spans="1:14" x14ac:dyDescent="0.2">
      <c r="A879" s="17" t="s">
        <v>542</v>
      </c>
      <c r="B879" s="10">
        <v>0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60</v>
      </c>
      <c r="L879" s="10">
        <v>0</v>
      </c>
      <c r="M879" s="10">
        <v>560.78</v>
      </c>
      <c r="N879" s="10">
        <f t="shared" ref="N879:N890" si="168">B879+C879+D879+E879+F879+G879+H879+I879+J879+K879+L879+M879</f>
        <v>620.78</v>
      </c>
    </row>
    <row r="880" spans="1:14" x14ac:dyDescent="0.2">
      <c r="A880" s="17" t="s">
        <v>543</v>
      </c>
      <c r="B880" s="10">
        <v>0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165.38</v>
      </c>
      <c r="M880" s="10">
        <v>277.10000000000002</v>
      </c>
      <c r="N880" s="10">
        <f t="shared" si="168"/>
        <v>442.48</v>
      </c>
    </row>
    <row r="881" spans="1:14" x14ac:dyDescent="0.2">
      <c r="A881" s="17" t="s">
        <v>544</v>
      </c>
      <c r="B881" s="10">
        <v>3712.68</v>
      </c>
      <c r="C881" s="10">
        <v>4464.08</v>
      </c>
      <c r="D881" s="10">
        <v>3317.48</v>
      </c>
      <c r="E881" s="10">
        <v>3187.65</v>
      </c>
      <c r="F881" s="10">
        <v>3228.05</v>
      </c>
      <c r="G881" s="10">
        <v>3348.24</v>
      </c>
      <c r="H881" s="10">
        <v>3865.64</v>
      </c>
      <c r="I881" s="10">
        <v>2594.48</v>
      </c>
      <c r="J881" s="10">
        <v>2594.4699999999998</v>
      </c>
      <c r="K881" s="10">
        <v>8766.82</v>
      </c>
      <c r="L881" s="10">
        <v>1722.83</v>
      </c>
      <c r="M881" s="10">
        <v>4731.4799999999996</v>
      </c>
      <c r="N881" s="10">
        <f t="shared" si="168"/>
        <v>45533.899999999994</v>
      </c>
    </row>
    <row r="882" spans="1:14" x14ac:dyDescent="0.2">
      <c r="A882" s="17" t="s">
        <v>545</v>
      </c>
      <c r="B882" s="10">
        <v>3603.04</v>
      </c>
      <c r="C882" s="10">
        <v>1629.67</v>
      </c>
      <c r="D882" s="10">
        <v>699.66</v>
      </c>
      <c r="E882" s="10">
        <v>589</v>
      </c>
      <c r="F882" s="10">
        <v>560</v>
      </c>
      <c r="G882" s="10">
        <v>1565.1</v>
      </c>
      <c r="H882" s="10">
        <v>1169</v>
      </c>
      <c r="I882" s="10">
        <v>2778.08</v>
      </c>
      <c r="J882" s="10">
        <v>2003</v>
      </c>
      <c r="K882" s="10">
        <v>1789</v>
      </c>
      <c r="L882" s="10">
        <v>-19.84</v>
      </c>
      <c r="M882" s="10">
        <v>976</v>
      </c>
      <c r="N882" s="10">
        <f t="shared" si="168"/>
        <v>17341.71</v>
      </c>
    </row>
    <row r="883" spans="1:14" x14ac:dyDescent="0.2">
      <c r="A883" s="17" t="s">
        <v>546</v>
      </c>
      <c r="B883" s="10">
        <v>512.96</v>
      </c>
      <c r="C883" s="10">
        <v>98.24</v>
      </c>
      <c r="D883" s="10">
        <v>2484.06</v>
      </c>
      <c r="E883" s="10">
        <v>200.44</v>
      </c>
      <c r="F883" s="10">
        <v>53.22</v>
      </c>
      <c r="G883" s="10">
        <v>708.7</v>
      </c>
      <c r="H883" s="10">
        <v>380.34</v>
      </c>
      <c r="I883" s="10">
        <v>43.74</v>
      </c>
      <c r="J883" s="10">
        <v>139.91999999999999</v>
      </c>
      <c r="K883" s="10">
        <v>128.88999999999999</v>
      </c>
      <c r="L883" s="10">
        <v>63.07</v>
      </c>
      <c r="M883" s="10">
        <v>119.3</v>
      </c>
      <c r="N883" s="10">
        <f t="shared" si="168"/>
        <v>4932.88</v>
      </c>
    </row>
    <row r="884" spans="1:14" x14ac:dyDescent="0.2">
      <c r="A884" s="17" t="s">
        <v>547</v>
      </c>
      <c r="B884" s="10">
        <v>0</v>
      </c>
      <c r="C884" s="10">
        <v>0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2.4</v>
      </c>
      <c r="N884" s="10">
        <f t="shared" si="168"/>
        <v>2.4</v>
      </c>
    </row>
    <row r="885" spans="1:14" x14ac:dyDescent="0.2">
      <c r="A885" s="17" t="s">
        <v>548</v>
      </c>
      <c r="B885" s="10">
        <v>0</v>
      </c>
      <c r="C885" s="10">
        <v>0</v>
      </c>
      <c r="D885" s="10">
        <v>0</v>
      </c>
      <c r="E885" s="10">
        <v>0</v>
      </c>
      <c r="F885" s="10">
        <v>17.100000000000001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f t="shared" si="168"/>
        <v>17.100000000000001</v>
      </c>
    </row>
    <row r="886" spans="1:14" x14ac:dyDescent="0.2">
      <c r="A886" s="17" t="s">
        <v>549</v>
      </c>
      <c r="B886" s="10">
        <v>0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1152.51</v>
      </c>
      <c r="K886" s="10">
        <v>0</v>
      </c>
      <c r="L886" s="10">
        <v>0</v>
      </c>
      <c r="M886" s="10">
        <v>0</v>
      </c>
      <c r="N886" s="10">
        <f t="shared" si="168"/>
        <v>1152.51</v>
      </c>
    </row>
    <row r="887" spans="1:14" x14ac:dyDescent="0.2">
      <c r="A887" s="17" t="s">
        <v>550</v>
      </c>
      <c r="B887" s="10">
        <v>0</v>
      </c>
      <c r="C887" s="10">
        <v>925</v>
      </c>
      <c r="D887" s="10">
        <v>500</v>
      </c>
      <c r="E887" s="10">
        <v>-1000</v>
      </c>
      <c r="F887" s="10">
        <v>0</v>
      </c>
      <c r="G887" s="10">
        <v>0</v>
      </c>
      <c r="H887" s="10">
        <v>0</v>
      </c>
      <c r="I887" s="10">
        <v>300</v>
      </c>
      <c r="J887" s="10">
        <v>0</v>
      </c>
      <c r="K887" s="10">
        <v>0</v>
      </c>
      <c r="L887" s="10">
        <v>0</v>
      </c>
      <c r="M887" s="10">
        <v>0</v>
      </c>
      <c r="N887" s="10">
        <f t="shared" si="168"/>
        <v>725</v>
      </c>
    </row>
    <row r="888" spans="1:14" x14ac:dyDescent="0.2">
      <c r="A888" s="17" t="s">
        <v>551</v>
      </c>
      <c r="B888" s="10">
        <v>0</v>
      </c>
      <c r="C888" s="10">
        <v>0</v>
      </c>
      <c r="D888" s="10">
        <v>0</v>
      </c>
      <c r="E888" s="10">
        <v>0</v>
      </c>
      <c r="F888" s="10">
        <v>1200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f t="shared" si="168"/>
        <v>1200</v>
      </c>
    </row>
    <row r="889" spans="1:14" x14ac:dyDescent="0.2">
      <c r="A889" s="17" t="s">
        <v>552</v>
      </c>
      <c r="B889" s="10">
        <v>602.46</v>
      </c>
      <c r="C889" s="10">
        <v>0</v>
      </c>
      <c r="D889" s="10">
        <v>139.5</v>
      </c>
      <c r="E889" s="10">
        <v>20</v>
      </c>
      <c r="F889" s="10">
        <v>0</v>
      </c>
      <c r="G889" s="10">
        <v>0</v>
      </c>
      <c r="H889" s="10">
        <v>0</v>
      </c>
      <c r="I889" s="10">
        <v>0</v>
      </c>
      <c r="J889" s="10">
        <v>10</v>
      </c>
      <c r="K889" s="10">
        <v>0</v>
      </c>
      <c r="L889" s="10">
        <v>0</v>
      </c>
      <c r="M889" s="10">
        <v>0</v>
      </c>
      <c r="N889" s="10">
        <f t="shared" si="168"/>
        <v>771.96</v>
      </c>
    </row>
    <row r="890" spans="1:14" x14ac:dyDescent="0.2">
      <c r="A890" s="17" t="s">
        <v>553</v>
      </c>
      <c r="B890" s="10">
        <v>57.52</v>
      </c>
      <c r="C890" s="10">
        <v>0</v>
      </c>
      <c r="D890" s="10">
        <v>0</v>
      </c>
      <c r="E890" s="10">
        <v>0</v>
      </c>
      <c r="F890" s="10">
        <v>70.88</v>
      </c>
      <c r="G890" s="10">
        <v>77.98</v>
      </c>
      <c r="H890" s="10">
        <v>38.71</v>
      </c>
      <c r="I890" s="10">
        <v>0</v>
      </c>
      <c r="J890" s="10">
        <v>-70.88</v>
      </c>
      <c r="K890" s="10">
        <v>0</v>
      </c>
      <c r="L890" s="10">
        <v>0</v>
      </c>
      <c r="M890" s="10">
        <v>0</v>
      </c>
      <c r="N890" s="10">
        <f t="shared" si="168"/>
        <v>174.21</v>
      </c>
    </row>
    <row r="891" spans="1:14" ht="4.95" customHeight="1" x14ac:dyDescent="0.2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r="892" spans="1:14" ht="4.95" customHeight="1" x14ac:dyDescent="0.2"/>
    <row r="893" spans="1:14" x14ac:dyDescent="0.2">
      <c r="A893" s="16" t="s">
        <v>137</v>
      </c>
      <c r="B893" s="9">
        <f t="shared" ref="B893:N893" si="169">SUM(B879:B890)</f>
        <v>8488.66</v>
      </c>
      <c r="C893" s="9">
        <f t="shared" si="169"/>
        <v>7116.99</v>
      </c>
      <c r="D893" s="9">
        <f t="shared" si="169"/>
        <v>7140.7</v>
      </c>
      <c r="E893" s="9">
        <f t="shared" si="169"/>
        <v>2997.09</v>
      </c>
      <c r="F893" s="9">
        <f t="shared" si="169"/>
        <v>5129.25</v>
      </c>
      <c r="G893" s="9">
        <f t="shared" si="169"/>
        <v>5700.0199999999995</v>
      </c>
      <c r="H893" s="9">
        <f t="shared" si="169"/>
        <v>5453.69</v>
      </c>
      <c r="I893" s="9">
        <f t="shared" si="169"/>
        <v>5716.2999999999993</v>
      </c>
      <c r="J893" s="9">
        <f t="shared" si="169"/>
        <v>5829.0199999999995</v>
      </c>
      <c r="K893" s="9">
        <f t="shared" si="169"/>
        <v>10744.71</v>
      </c>
      <c r="L893" s="9">
        <f t="shared" si="169"/>
        <v>1931.44</v>
      </c>
      <c r="M893" s="9">
        <f t="shared" si="169"/>
        <v>6667.0599999999995</v>
      </c>
      <c r="N893" s="9">
        <f t="shared" si="169"/>
        <v>72914.930000000008</v>
      </c>
    </row>
    <row r="894" spans="1:14" ht="4.95" customHeight="1" x14ac:dyDescent="0.2"/>
    <row r="895" spans="1:14" ht="4.95" customHeight="1" x14ac:dyDescent="0.2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r="896" spans="1:14" ht="4.95" customHeight="1" x14ac:dyDescent="0.2"/>
    <row r="897" spans="1:14" x14ac:dyDescent="0.2">
      <c r="A897" s="16" t="s">
        <v>554</v>
      </c>
      <c r="B897" s="9">
        <f t="shared" ref="B897:N897" si="170">B876+B893</f>
        <v>49636.08</v>
      </c>
      <c r="C897" s="9">
        <f t="shared" si="170"/>
        <v>39739.909999999996</v>
      </c>
      <c r="D897" s="9">
        <f t="shared" si="170"/>
        <v>43556.909999999996</v>
      </c>
      <c r="E897" s="9">
        <f t="shared" si="170"/>
        <v>31891.960000000003</v>
      </c>
      <c r="F897" s="9">
        <f t="shared" si="170"/>
        <v>37908.620000000003</v>
      </c>
      <c r="G897" s="9">
        <f t="shared" si="170"/>
        <v>52189.599999999999</v>
      </c>
      <c r="H897" s="9">
        <f t="shared" si="170"/>
        <v>45523.43</v>
      </c>
      <c r="I897" s="9">
        <f t="shared" si="170"/>
        <v>50693.22</v>
      </c>
      <c r="J897" s="9">
        <f t="shared" si="170"/>
        <v>52327.30999999999</v>
      </c>
      <c r="K897" s="9">
        <f t="shared" si="170"/>
        <v>56218.74</v>
      </c>
      <c r="L897" s="9">
        <f t="shared" si="170"/>
        <v>51071.260000000009</v>
      </c>
      <c r="M897" s="9">
        <f t="shared" si="170"/>
        <v>44634.619999999995</v>
      </c>
      <c r="N897" s="9">
        <f t="shared" si="170"/>
        <v>555391.66</v>
      </c>
    </row>
    <row r="898" spans="1:14" ht="4.95" customHeight="1" x14ac:dyDescent="0.2"/>
    <row r="899" spans="1:14" x14ac:dyDescent="0.2">
      <c r="A899" s="16" t="s">
        <v>555</v>
      </c>
      <c r="B899" s="9">
        <f t="shared" ref="B899:N899" si="171">B897</f>
        <v>49636.08</v>
      </c>
      <c r="C899" s="9">
        <f t="shared" si="171"/>
        <v>39739.909999999996</v>
      </c>
      <c r="D899" s="9">
        <f t="shared" si="171"/>
        <v>43556.909999999996</v>
      </c>
      <c r="E899" s="9">
        <f t="shared" si="171"/>
        <v>31891.960000000003</v>
      </c>
      <c r="F899" s="9">
        <f t="shared" si="171"/>
        <v>37908.620000000003</v>
      </c>
      <c r="G899" s="9">
        <f t="shared" si="171"/>
        <v>52189.599999999999</v>
      </c>
      <c r="H899" s="9">
        <f t="shared" si="171"/>
        <v>45523.43</v>
      </c>
      <c r="I899" s="9">
        <f t="shared" si="171"/>
        <v>50693.22</v>
      </c>
      <c r="J899" s="9">
        <f t="shared" si="171"/>
        <v>52327.30999999999</v>
      </c>
      <c r="K899" s="9">
        <f t="shared" si="171"/>
        <v>56218.74</v>
      </c>
      <c r="L899" s="9">
        <f t="shared" si="171"/>
        <v>51071.260000000009</v>
      </c>
      <c r="M899" s="9">
        <f t="shared" si="171"/>
        <v>44634.619999999995</v>
      </c>
      <c r="N899" s="9">
        <f t="shared" si="171"/>
        <v>555391.66</v>
      </c>
    </row>
    <row r="900" spans="1:14" ht="4.95" customHeight="1" x14ac:dyDescent="0.2"/>
    <row r="901" spans="1:14" x14ac:dyDescent="0.2">
      <c r="A901" s="16" t="s">
        <v>37</v>
      </c>
    </row>
    <row r="903" spans="1:14" x14ac:dyDescent="0.2">
      <c r="A903" s="16" t="s">
        <v>556</v>
      </c>
    </row>
    <row r="904" spans="1:14" x14ac:dyDescent="0.2">
      <c r="A904" s="17" t="s">
        <v>557</v>
      </c>
      <c r="B904" s="10">
        <v>30952.93</v>
      </c>
      <c r="C904" s="10">
        <v>38183.760000000002</v>
      </c>
      <c r="D904" s="10">
        <v>55642.84</v>
      </c>
      <c r="E904" s="10">
        <v>53883.37</v>
      </c>
      <c r="F904" s="10">
        <v>35347.43</v>
      </c>
      <c r="G904" s="10">
        <v>35024.65</v>
      </c>
      <c r="H904" s="10">
        <v>32312.99</v>
      </c>
      <c r="I904" s="10">
        <v>30065.56</v>
      </c>
      <c r="J904" s="10">
        <v>40263.25</v>
      </c>
      <c r="K904" s="10">
        <v>37218.29</v>
      </c>
      <c r="L904" s="10">
        <v>30265.42</v>
      </c>
      <c r="M904" s="10">
        <v>28493.439999999999</v>
      </c>
      <c r="N904" s="10">
        <f>B904+C904+D904+E904+F904+G904+H904+I904+J904+K904+L904+M904</f>
        <v>447653.92999999993</v>
      </c>
    </row>
    <row r="905" spans="1:14" x14ac:dyDescent="0.2">
      <c r="A905" s="17" t="s">
        <v>558</v>
      </c>
      <c r="B905" s="10">
        <v>41124.21</v>
      </c>
      <c r="C905" s="10">
        <v>50493.07</v>
      </c>
      <c r="D905" s="10">
        <v>72121.259999999995</v>
      </c>
      <c r="E905" s="10">
        <v>70408.070000000007</v>
      </c>
      <c r="F905" s="10">
        <v>47078.13</v>
      </c>
      <c r="G905" s="10">
        <v>46522.23</v>
      </c>
      <c r="H905" s="10">
        <v>42640.11</v>
      </c>
      <c r="I905" s="10">
        <v>40241.35</v>
      </c>
      <c r="J905" s="10">
        <v>52964.28</v>
      </c>
      <c r="K905" s="10">
        <v>48689.78</v>
      </c>
      <c r="L905" s="10">
        <v>39894.5</v>
      </c>
      <c r="M905" s="10">
        <v>37033.5</v>
      </c>
      <c r="N905" s="10">
        <f>B905+C905+D905+E905+F905+G905+H905+I905+J905+K905+L905+M905</f>
        <v>589210.49</v>
      </c>
    </row>
    <row r="906" spans="1:14" x14ac:dyDescent="0.2">
      <c r="A906" s="17" t="s">
        <v>559</v>
      </c>
      <c r="B906" s="10">
        <v>20951.78</v>
      </c>
      <c r="C906" s="10">
        <v>27345.599999999999</v>
      </c>
      <c r="D906" s="10">
        <v>36630.769999999997</v>
      </c>
      <c r="E906" s="10">
        <v>38405.83</v>
      </c>
      <c r="F906" s="10">
        <v>29399.24</v>
      </c>
      <c r="G906" s="10">
        <v>26153.67</v>
      </c>
      <c r="H906" s="10">
        <v>24335.84</v>
      </c>
      <c r="I906" s="10">
        <v>24516.639999999999</v>
      </c>
      <c r="J906" s="10">
        <v>30021.11</v>
      </c>
      <c r="K906" s="10">
        <v>31476.61</v>
      </c>
      <c r="L906" s="10">
        <v>24770.63</v>
      </c>
      <c r="M906" s="10">
        <v>19562.13</v>
      </c>
      <c r="N906" s="10">
        <f>B906+C906+D906+E906+F906+G906+H906+I906+J906+K906+L906+M906</f>
        <v>333569.84999999998</v>
      </c>
    </row>
    <row r="907" spans="1:14" x14ac:dyDescent="0.2">
      <c r="A907" s="17" t="s">
        <v>560</v>
      </c>
      <c r="B907" s="10">
        <v>8221.0400000000009</v>
      </c>
      <c r="C907" s="10">
        <v>12206.39</v>
      </c>
      <c r="D907" s="10">
        <v>16350.96</v>
      </c>
      <c r="E907" s="10">
        <v>16334.26</v>
      </c>
      <c r="F907" s="10">
        <v>12682.91</v>
      </c>
      <c r="G907" s="10">
        <v>12136.72</v>
      </c>
      <c r="H907" s="10">
        <v>9326.73</v>
      </c>
      <c r="I907" s="10">
        <v>10545.31</v>
      </c>
      <c r="J907" s="10">
        <v>11643.55</v>
      </c>
      <c r="K907" s="10">
        <v>10804.5</v>
      </c>
      <c r="L907" s="10">
        <v>10034.08</v>
      </c>
      <c r="M907" s="10">
        <v>6501.71</v>
      </c>
      <c r="N907" s="10">
        <f>B907+C907+D907+E907+F907+G907+H907+I907+J907+K907+L907+M907</f>
        <v>136788.16</v>
      </c>
    </row>
    <row r="908" spans="1:14" ht="4.95" customHeight="1" x14ac:dyDescent="0.2"/>
    <row r="909" spans="1:14" ht="4.95" customHeight="1" x14ac:dyDescent="0.2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r="910" spans="1:14" ht="4.95" customHeight="1" x14ac:dyDescent="0.2"/>
    <row r="911" spans="1:14" x14ac:dyDescent="0.2">
      <c r="A911" s="16" t="s">
        <v>561</v>
      </c>
      <c r="B911" s="9">
        <f t="shared" ref="B911:N911" si="172">SUM(B904:B907)</f>
        <v>101249.95999999999</v>
      </c>
      <c r="C911" s="9">
        <f t="shared" si="172"/>
        <v>128228.81999999999</v>
      </c>
      <c r="D911" s="9">
        <f t="shared" si="172"/>
        <v>180745.83</v>
      </c>
      <c r="E911" s="9">
        <f t="shared" si="172"/>
        <v>179031.53000000003</v>
      </c>
      <c r="F911" s="9">
        <f t="shared" si="172"/>
        <v>124507.71</v>
      </c>
      <c r="G911" s="9">
        <f t="shared" si="172"/>
        <v>119837.27</v>
      </c>
      <c r="H911" s="9">
        <f t="shared" si="172"/>
        <v>108615.67</v>
      </c>
      <c r="I911" s="9">
        <f t="shared" si="172"/>
        <v>105368.86</v>
      </c>
      <c r="J911" s="9">
        <f t="shared" si="172"/>
        <v>134892.19</v>
      </c>
      <c r="K911" s="9">
        <f t="shared" si="172"/>
        <v>128189.18000000001</v>
      </c>
      <c r="L911" s="9">
        <f t="shared" si="172"/>
        <v>104964.63</v>
      </c>
      <c r="M911" s="9">
        <f t="shared" si="172"/>
        <v>91590.780000000013</v>
      </c>
      <c r="N911" s="9">
        <f t="shared" si="172"/>
        <v>1507222.43</v>
      </c>
    </row>
    <row r="912" spans="1:14" ht="4.95" customHeight="1" x14ac:dyDescent="0.2"/>
    <row r="913" spans="1:14" x14ac:dyDescent="0.2">
      <c r="A913" s="16" t="s">
        <v>562</v>
      </c>
      <c r="B913" s="9">
        <f t="shared" ref="B913:N913" si="173">B911</f>
        <v>101249.95999999999</v>
      </c>
      <c r="C913" s="9">
        <f t="shared" si="173"/>
        <v>128228.81999999999</v>
      </c>
      <c r="D913" s="9">
        <f t="shared" si="173"/>
        <v>180745.83</v>
      </c>
      <c r="E913" s="9">
        <f t="shared" si="173"/>
        <v>179031.53000000003</v>
      </c>
      <c r="F913" s="9">
        <f t="shared" si="173"/>
        <v>124507.71</v>
      </c>
      <c r="G913" s="9">
        <f t="shared" si="173"/>
        <v>119837.27</v>
      </c>
      <c r="H913" s="9">
        <f t="shared" si="173"/>
        <v>108615.67</v>
      </c>
      <c r="I913" s="9">
        <f t="shared" si="173"/>
        <v>105368.86</v>
      </c>
      <c r="J913" s="9">
        <f t="shared" si="173"/>
        <v>134892.19</v>
      </c>
      <c r="K913" s="9">
        <f t="shared" si="173"/>
        <v>128189.18000000001</v>
      </c>
      <c r="L913" s="9">
        <f t="shared" si="173"/>
        <v>104964.63</v>
      </c>
      <c r="M913" s="9">
        <f t="shared" si="173"/>
        <v>91590.780000000013</v>
      </c>
      <c r="N913" s="9">
        <f t="shared" si="173"/>
        <v>1507222.43</v>
      </c>
    </row>
    <row r="914" spans="1:14" ht="4.95" customHeight="1" x14ac:dyDescent="0.2"/>
    <row r="915" spans="1:14" x14ac:dyDescent="0.2">
      <c r="A915" s="16" t="s">
        <v>38</v>
      </c>
    </row>
    <row r="917" spans="1:14" x14ac:dyDescent="0.2">
      <c r="A917" s="16" t="s">
        <v>563</v>
      </c>
    </row>
    <row r="918" spans="1:14" x14ac:dyDescent="0.2">
      <c r="A918" s="16" t="s">
        <v>564</v>
      </c>
    </row>
    <row r="920" spans="1:14" x14ac:dyDescent="0.2">
      <c r="A920" s="16" t="s">
        <v>565</v>
      </c>
    </row>
    <row r="921" spans="1:14" x14ac:dyDescent="0.2">
      <c r="A921" s="16" t="s">
        <v>566</v>
      </c>
    </row>
    <row r="922" spans="1:14" x14ac:dyDescent="0.2">
      <c r="A922" s="17" t="s">
        <v>567</v>
      </c>
      <c r="B922" s="10">
        <v>5991.84</v>
      </c>
      <c r="C922" s="10">
        <v>5361.12</v>
      </c>
      <c r="D922" s="10">
        <v>6307.2</v>
      </c>
      <c r="E922" s="10">
        <v>6307.2</v>
      </c>
      <c r="F922" s="10">
        <v>7523.82</v>
      </c>
      <c r="G922" s="10">
        <v>5090.58</v>
      </c>
      <c r="H922" s="10">
        <v>4730.3999999999996</v>
      </c>
      <c r="I922" s="10">
        <v>6622.56</v>
      </c>
      <c r="J922" s="10">
        <v>6488.08</v>
      </c>
      <c r="K922" s="10">
        <v>5847.84</v>
      </c>
      <c r="L922" s="10">
        <v>6497.6</v>
      </c>
      <c r="M922" s="10">
        <v>5522.96</v>
      </c>
      <c r="N922" s="10">
        <f>B922+C922+D922+E922+F922+G922+H922+I922+J922+K922+L922+M922</f>
        <v>72291.200000000012</v>
      </c>
    </row>
    <row r="923" spans="1:14" x14ac:dyDescent="0.2">
      <c r="A923" s="16" t="s">
        <v>568</v>
      </c>
      <c r="B923" s="9">
        <f t="shared" ref="B923:N923" si="174">B922</f>
        <v>5991.84</v>
      </c>
      <c r="C923" s="9">
        <f t="shared" si="174"/>
        <v>5361.12</v>
      </c>
      <c r="D923" s="9">
        <f t="shared" si="174"/>
        <v>6307.2</v>
      </c>
      <c r="E923" s="9">
        <f t="shared" si="174"/>
        <v>6307.2</v>
      </c>
      <c r="F923" s="9">
        <f t="shared" si="174"/>
        <v>7523.82</v>
      </c>
      <c r="G923" s="9">
        <f t="shared" si="174"/>
        <v>5090.58</v>
      </c>
      <c r="H923" s="9">
        <f t="shared" si="174"/>
        <v>4730.3999999999996</v>
      </c>
      <c r="I923" s="9">
        <f t="shared" si="174"/>
        <v>6622.56</v>
      </c>
      <c r="J923" s="9">
        <f t="shared" si="174"/>
        <v>6488.08</v>
      </c>
      <c r="K923" s="9">
        <f t="shared" si="174"/>
        <v>5847.84</v>
      </c>
      <c r="L923" s="9">
        <f t="shared" si="174"/>
        <v>6497.6</v>
      </c>
      <c r="M923" s="9">
        <f t="shared" si="174"/>
        <v>5522.96</v>
      </c>
      <c r="N923" s="9">
        <f t="shared" si="174"/>
        <v>72291.200000000012</v>
      </c>
    </row>
    <row r="925" spans="1:14" x14ac:dyDescent="0.2">
      <c r="A925" s="16" t="s">
        <v>569</v>
      </c>
    </row>
    <row r="926" spans="1:14" x14ac:dyDescent="0.2">
      <c r="A926" s="17" t="s">
        <v>570</v>
      </c>
      <c r="B926" s="10">
        <v>18781.13</v>
      </c>
      <c r="C926" s="10">
        <v>18286.12</v>
      </c>
      <c r="D926" s="10">
        <v>19745.43</v>
      </c>
      <c r="E926" s="10">
        <v>19698.36</v>
      </c>
      <c r="F926" s="10">
        <v>17843.740000000002</v>
      </c>
      <c r="G926" s="10">
        <v>21167.74</v>
      </c>
      <c r="H926" s="10">
        <v>18679.3</v>
      </c>
      <c r="I926" s="10">
        <v>20029.71</v>
      </c>
      <c r="J926" s="10">
        <v>20141.12</v>
      </c>
      <c r="K926" s="10">
        <v>22473.55</v>
      </c>
      <c r="L926" s="10">
        <v>20798.400000000001</v>
      </c>
      <c r="M926" s="10">
        <v>20994.81</v>
      </c>
      <c r="N926" s="10">
        <f>B926+C926+D926+E926+F926+G926+H926+I926+J926+K926+L926+M926</f>
        <v>238639.40999999997</v>
      </c>
    </row>
    <row r="927" spans="1:14" x14ac:dyDescent="0.2">
      <c r="A927" s="16" t="s">
        <v>571</v>
      </c>
      <c r="B927" s="9">
        <f t="shared" ref="B927:N927" si="175">B926</f>
        <v>18781.13</v>
      </c>
      <c r="C927" s="9">
        <f t="shared" si="175"/>
        <v>18286.12</v>
      </c>
      <c r="D927" s="9">
        <f t="shared" si="175"/>
        <v>19745.43</v>
      </c>
      <c r="E927" s="9">
        <f t="shared" si="175"/>
        <v>19698.36</v>
      </c>
      <c r="F927" s="9">
        <f t="shared" si="175"/>
        <v>17843.740000000002</v>
      </c>
      <c r="G927" s="9">
        <f t="shared" si="175"/>
        <v>21167.74</v>
      </c>
      <c r="H927" s="9">
        <f t="shared" si="175"/>
        <v>18679.3</v>
      </c>
      <c r="I927" s="9">
        <f t="shared" si="175"/>
        <v>20029.71</v>
      </c>
      <c r="J927" s="9">
        <f t="shared" si="175"/>
        <v>20141.12</v>
      </c>
      <c r="K927" s="9">
        <f t="shared" si="175"/>
        <v>22473.55</v>
      </c>
      <c r="L927" s="9">
        <f t="shared" si="175"/>
        <v>20798.400000000001</v>
      </c>
      <c r="M927" s="9">
        <f t="shared" si="175"/>
        <v>20994.81</v>
      </c>
      <c r="N927" s="9">
        <f t="shared" si="175"/>
        <v>238639.40999999997</v>
      </c>
    </row>
    <row r="928" spans="1:14" x14ac:dyDescent="0.2">
      <c r="A928" s="16" t="s">
        <v>572</v>
      </c>
      <c r="B928" s="9">
        <f t="shared" ref="B928:N928" si="176">B923+B927</f>
        <v>24772.97</v>
      </c>
      <c r="C928" s="9">
        <f t="shared" si="176"/>
        <v>23647.239999999998</v>
      </c>
      <c r="D928" s="9">
        <f t="shared" si="176"/>
        <v>26052.63</v>
      </c>
      <c r="E928" s="9">
        <f t="shared" si="176"/>
        <v>26005.56</v>
      </c>
      <c r="F928" s="9">
        <f t="shared" si="176"/>
        <v>25367.56</v>
      </c>
      <c r="G928" s="9">
        <f t="shared" si="176"/>
        <v>26258.32</v>
      </c>
      <c r="H928" s="9">
        <f t="shared" si="176"/>
        <v>23409.699999999997</v>
      </c>
      <c r="I928" s="9">
        <f t="shared" si="176"/>
        <v>26652.27</v>
      </c>
      <c r="J928" s="9">
        <f t="shared" si="176"/>
        <v>26629.199999999997</v>
      </c>
      <c r="K928" s="9">
        <f t="shared" si="176"/>
        <v>28321.39</v>
      </c>
      <c r="L928" s="9">
        <f t="shared" si="176"/>
        <v>27296</v>
      </c>
      <c r="M928" s="9">
        <f t="shared" si="176"/>
        <v>26517.77</v>
      </c>
      <c r="N928" s="9">
        <f t="shared" si="176"/>
        <v>310930.61</v>
      </c>
    </row>
    <row r="930" spans="1:14" x14ac:dyDescent="0.2">
      <c r="A930" s="16" t="s">
        <v>573</v>
      </c>
    </row>
    <row r="931" spans="1:14" x14ac:dyDescent="0.2">
      <c r="A931" s="17" t="s">
        <v>574</v>
      </c>
      <c r="B931" s="10">
        <v>0</v>
      </c>
      <c r="C931" s="10">
        <v>0</v>
      </c>
      <c r="D931" s="10">
        <v>0</v>
      </c>
      <c r="E931" s="10">
        <v>0</v>
      </c>
      <c r="F931" s="10">
        <v>0</v>
      </c>
      <c r="G931" s="10">
        <v>853.05</v>
      </c>
      <c r="H931" s="10">
        <v>0</v>
      </c>
      <c r="I931" s="10">
        <v>0</v>
      </c>
      <c r="J931" s="10">
        <v>870.85</v>
      </c>
      <c r="K931" s="10">
        <v>0</v>
      </c>
      <c r="L931" s="10">
        <v>682.94</v>
      </c>
      <c r="M931" s="10">
        <v>0</v>
      </c>
      <c r="N931" s="10">
        <f t="shared" ref="N931:N937" si="177">B931+C931+D931+E931+F931+G931+H931+I931+J931+K931+L931+M931</f>
        <v>2406.84</v>
      </c>
    </row>
    <row r="932" spans="1:14" x14ac:dyDescent="0.2">
      <c r="A932" s="17" t="s">
        <v>575</v>
      </c>
      <c r="B932" s="10">
        <v>2890.35</v>
      </c>
      <c r="C932" s="10">
        <v>2993.96</v>
      </c>
      <c r="D932" s="10">
        <v>2052.2600000000002</v>
      </c>
      <c r="E932" s="10">
        <v>3136.6</v>
      </c>
      <c r="F932" s="10">
        <v>1829.94</v>
      </c>
      <c r="G932" s="10">
        <v>2125.66</v>
      </c>
      <c r="H932" s="10">
        <v>1673.19</v>
      </c>
      <c r="I932" s="10">
        <v>2045.27</v>
      </c>
      <c r="J932" s="10">
        <v>3100.09</v>
      </c>
      <c r="K932" s="10">
        <v>1996.22</v>
      </c>
      <c r="L932" s="10">
        <v>2198.87</v>
      </c>
      <c r="M932" s="10">
        <v>1910.46</v>
      </c>
      <c r="N932" s="10">
        <f t="shared" si="177"/>
        <v>27952.87</v>
      </c>
    </row>
    <row r="933" spans="1:14" x14ac:dyDescent="0.2">
      <c r="A933" s="17" t="s">
        <v>576</v>
      </c>
      <c r="B933" s="10">
        <v>188.79</v>
      </c>
      <c r="C933" s="10">
        <v>187.54</v>
      </c>
      <c r="D933" s="10">
        <v>170.82</v>
      </c>
      <c r="E933" s="10">
        <v>168.1</v>
      </c>
      <c r="F933" s="10">
        <v>180.13</v>
      </c>
      <c r="G933" s="10">
        <v>191.39</v>
      </c>
      <c r="H933" s="10">
        <v>164.81</v>
      </c>
      <c r="I933" s="10">
        <v>155.5</v>
      </c>
      <c r="J933" s="10">
        <v>147.81</v>
      </c>
      <c r="K933" s="10">
        <v>139.11000000000001</v>
      </c>
      <c r="L933" s="10">
        <v>150.41999999999999</v>
      </c>
      <c r="M933" s="10">
        <v>143.5</v>
      </c>
      <c r="N933" s="10">
        <f t="shared" si="177"/>
        <v>1987.92</v>
      </c>
    </row>
    <row r="934" spans="1:14" x14ac:dyDescent="0.2">
      <c r="A934" s="17" t="s">
        <v>577</v>
      </c>
      <c r="B934" s="10">
        <v>370.98</v>
      </c>
      <c r="C934" s="10">
        <v>637.87</v>
      </c>
      <c r="D934" s="10">
        <v>485.05</v>
      </c>
      <c r="E934" s="10">
        <v>308.92</v>
      </c>
      <c r="F934" s="10">
        <v>544.63</v>
      </c>
      <c r="G934" s="10">
        <v>529.84</v>
      </c>
      <c r="H934" s="10">
        <v>609.49</v>
      </c>
      <c r="I934" s="10">
        <v>630</v>
      </c>
      <c r="J934" s="10">
        <v>371.07</v>
      </c>
      <c r="K934" s="10">
        <v>735.88</v>
      </c>
      <c r="L934" s="10">
        <v>679.65</v>
      </c>
      <c r="M934" s="10">
        <v>674.42</v>
      </c>
      <c r="N934" s="10">
        <f t="shared" si="177"/>
        <v>6577.8</v>
      </c>
    </row>
    <row r="935" spans="1:14" x14ac:dyDescent="0.2">
      <c r="A935" s="17" t="s">
        <v>578</v>
      </c>
      <c r="B935" s="10">
        <v>904.48</v>
      </c>
      <c r="C935" s="10">
        <v>771.6</v>
      </c>
      <c r="D935" s="10">
        <v>1501.92</v>
      </c>
      <c r="E935" s="10">
        <v>-482.16</v>
      </c>
      <c r="F935" s="10">
        <v>1112.8800000000001</v>
      </c>
      <c r="G935" s="10">
        <v>1110.6400000000001</v>
      </c>
      <c r="H935" s="10">
        <v>1487.84</v>
      </c>
      <c r="I935" s="10">
        <v>1558.8</v>
      </c>
      <c r="J935" s="10">
        <v>1894.8</v>
      </c>
      <c r="K935" s="10">
        <v>3674.2</v>
      </c>
      <c r="L935" s="10">
        <v>1189.44</v>
      </c>
      <c r="M935" s="10">
        <v>487.32</v>
      </c>
      <c r="N935" s="10">
        <f t="shared" si="177"/>
        <v>15211.76</v>
      </c>
    </row>
    <row r="936" spans="1:14" x14ac:dyDescent="0.2">
      <c r="A936" s="17" t="s">
        <v>579</v>
      </c>
      <c r="B936" s="10">
        <v>0</v>
      </c>
      <c r="C936" s="10">
        <v>544</v>
      </c>
      <c r="D936" s="10">
        <v>0</v>
      </c>
      <c r="E936" s="10">
        <v>482.16</v>
      </c>
      <c r="F936" s="10">
        <v>152.72</v>
      </c>
      <c r="G936" s="10">
        <v>598.16</v>
      </c>
      <c r="H936" s="10">
        <v>770.88</v>
      </c>
      <c r="I936" s="10">
        <v>1039.44</v>
      </c>
      <c r="J936" s="10">
        <v>250.2</v>
      </c>
      <c r="K936" s="10">
        <v>632.36</v>
      </c>
      <c r="L936" s="10">
        <v>0</v>
      </c>
      <c r="M936" s="10">
        <v>756.68</v>
      </c>
      <c r="N936" s="10">
        <f t="shared" si="177"/>
        <v>5226.6000000000004</v>
      </c>
    </row>
    <row r="937" spans="1:14" x14ac:dyDescent="0.2">
      <c r="A937" s="17" t="s">
        <v>580</v>
      </c>
      <c r="B937" s="10">
        <v>2500.2800000000002</v>
      </c>
      <c r="C937" s="10">
        <v>136</v>
      </c>
      <c r="D937" s="10">
        <v>166.8</v>
      </c>
      <c r="E937" s="10">
        <v>152.72</v>
      </c>
      <c r="F937" s="10">
        <v>136</v>
      </c>
      <c r="G937" s="10">
        <v>1451.47</v>
      </c>
      <c r="H937" s="10">
        <v>1240.8499999999999</v>
      </c>
      <c r="I937" s="10">
        <v>0</v>
      </c>
      <c r="J937" s="10">
        <v>1283.58</v>
      </c>
      <c r="K937" s="10">
        <v>0</v>
      </c>
      <c r="L937" s="10">
        <v>1388.03</v>
      </c>
      <c r="M937" s="10">
        <v>0</v>
      </c>
      <c r="N937" s="10">
        <f t="shared" si="177"/>
        <v>8455.7300000000014</v>
      </c>
    </row>
    <row r="938" spans="1:14" x14ac:dyDescent="0.2">
      <c r="A938" s="16" t="s">
        <v>581</v>
      </c>
      <c r="B938" s="9">
        <f t="shared" ref="B938:N938" si="178">SUM(B931:B937)</f>
        <v>6854.880000000001</v>
      </c>
      <c r="C938" s="9">
        <f t="shared" si="178"/>
        <v>5270.97</v>
      </c>
      <c r="D938" s="9">
        <f t="shared" si="178"/>
        <v>4376.8500000000013</v>
      </c>
      <c r="E938" s="9">
        <f t="shared" si="178"/>
        <v>3766.3399999999997</v>
      </c>
      <c r="F938" s="9">
        <f t="shared" si="178"/>
        <v>3956.3</v>
      </c>
      <c r="G938" s="9">
        <f t="shared" si="178"/>
        <v>6860.21</v>
      </c>
      <c r="H938" s="9">
        <f t="shared" si="178"/>
        <v>5947.0599999999995</v>
      </c>
      <c r="I938" s="9">
        <f t="shared" si="178"/>
        <v>5429.01</v>
      </c>
      <c r="J938" s="9">
        <f t="shared" si="178"/>
        <v>7918.4</v>
      </c>
      <c r="K938" s="9">
        <f t="shared" si="178"/>
        <v>7177.7699999999995</v>
      </c>
      <c r="L938" s="9">
        <f t="shared" si="178"/>
        <v>6289.3499999999995</v>
      </c>
      <c r="M938" s="9">
        <f t="shared" si="178"/>
        <v>3972.38</v>
      </c>
      <c r="N938" s="9">
        <f t="shared" si="178"/>
        <v>67819.520000000004</v>
      </c>
    </row>
    <row r="939" spans="1:14" ht="4.95" customHeight="1" x14ac:dyDescent="0.2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r="940" spans="1:14" ht="4.95" customHeight="1" x14ac:dyDescent="0.2"/>
    <row r="941" spans="1:14" x14ac:dyDescent="0.2">
      <c r="A941" s="16" t="s">
        <v>582</v>
      </c>
      <c r="B941" s="9">
        <f t="shared" ref="B941:N941" si="179">B928+B938</f>
        <v>31627.850000000002</v>
      </c>
      <c r="C941" s="9">
        <f t="shared" si="179"/>
        <v>28918.21</v>
      </c>
      <c r="D941" s="9">
        <f t="shared" si="179"/>
        <v>30429.480000000003</v>
      </c>
      <c r="E941" s="9">
        <f t="shared" si="179"/>
        <v>29771.9</v>
      </c>
      <c r="F941" s="9">
        <f t="shared" si="179"/>
        <v>29323.86</v>
      </c>
      <c r="G941" s="9">
        <f t="shared" si="179"/>
        <v>33118.53</v>
      </c>
      <c r="H941" s="9">
        <f t="shared" si="179"/>
        <v>29356.759999999995</v>
      </c>
      <c r="I941" s="9">
        <f t="shared" si="179"/>
        <v>32081.279999999999</v>
      </c>
      <c r="J941" s="9">
        <f t="shared" si="179"/>
        <v>34547.599999999999</v>
      </c>
      <c r="K941" s="9">
        <f t="shared" si="179"/>
        <v>35499.159999999996</v>
      </c>
      <c r="L941" s="9">
        <f t="shared" si="179"/>
        <v>33585.35</v>
      </c>
      <c r="M941" s="9">
        <f t="shared" si="179"/>
        <v>30490.15</v>
      </c>
      <c r="N941" s="9">
        <f t="shared" si="179"/>
        <v>378750.13</v>
      </c>
    </row>
    <row r="942" spans="1:14" ht="4.95" customHeight="1" x14ac:dyDescent="0.2"/>
    <row r="943" spans="1:14" x14ac:dyDescent="0.2">
      <c r="A943" s="16" t="s">
        <v>114</v>
      </c>
    </row>
    <row r="944" spans="1:14" x14ac:dyDescent="0.2">
      <c r="A944" s="17" t="s">
        <v>583</v>
      </c>
      <c r="B944" s="10">
        <v>0</v>
      </c>
      <c r="C944" s="10">
        <v>0</v>
      </c>
      <c r="D944" s="10">
        <v>831.04</v>
      </c>
      <c r="E944" s="10">
        <v>2988.93</v>
      </c>
      <c r="F944" s="10">
        <v>2949.59</v>
      </c>
      <c r="G944" s="10">
        <v>986.05</v>
      </c>
      <c r="H944" s="10">
        <v>7165.7</v>
      </c>
      <c r="I944" s="10">
        <v>385</v>
      </c>
      <c r="J944" s="10">
        <v>-10.31</v>
      </c>
      <c r="K944" s="10">
        <v>641.65</v>
      </c>
      <c r="L944" s="10">
        <v>3941.49</v>
      </c>
      <c r="M944" s="10">
        <v>3226.45</v>
      </c>
      <c r="N944" s="10">
        <f t="shared" ref="N944:N970" si="180">B944+C944+D944+E944+F944+G944+H944+I944+J944+K944+L944+M944</f>
        <v>23105.59</v>
      </c>
    </row>
    <row r="945" spans="1:14" x14ac:dyDescent="0.2">
      <c r="A945" s="17" t="s">
        <v>584</v>
      </c>
      <c r="B945" s="10">
        <v>605.80999999999995</v>
      </c>
      <c r="C945" s="10">
        <v>1849.83</v>
      </c>
      <c r="D945" s="10">
        <v>1440.94</v>
      </c>
      <c r="E945" s="10">
        <v>2030.12</v>
      </c>
      <c r="F945" s="10">
        <v>2188.89</v>
      </c>
      <c r="G945" s="10">
        <v>1779.01</v>
      </c>
      <c r="H945" s="10">
        <v>2231.36</v>
      </c>
      <c r="I945" s="10">
        <v>584.69000000000005</v>
      </c>
      <c r="J945" s="10">
        <v>2363.8200000000002</v>
      </c>
      <c r="K945" s="10">
        <v>2039.3</v>
      </c>
      <c r="L945" s="10">
        <v>1174.73</v>
      </c>
      <c r="M945" s="10">
        <v>1304.99</v>
      </c>
      <c r="N945" s="10">
        <f t="shared" si="180"/>
        <v>19593.490000000002</v>
      </c>
    </row>
    <row r="946" spans="1:14" x14ac:dyDescent="0.2">
      <c r="A946" s="17" t="s">
        <v>585</v>
      </c>
      <c r="B946" s="10">
        <v>1288.33</v>
      </c>
      <c r="C946" s="10">
        <v>4057.71</v>
      </c>
      <c r="D946" s="10">
        <v>2347.34</v>
      </c>
      <c r="E946" s="10">
        <v>2078.1999999999998</v>
      </c>
      <c r="F946" s="10">
        <v>2944.7</v>
      </c>
      <c r="G946" s="10">
        <v>4751.95</v>
      </c>
      <c r="H946" s="10">
        <v>3028.74</v>
      </c>
      <c r="I946" s="10">
        <v>1413.18</v>
      </c>
      <c r="J946" s="10">
        <v>1413.18</v>
      </c>
      <c r="K946" s="10">
        <v>1413.18</v>
      </c>
      <c r="L946" s="10">
        <v>2636.41</v>
      </c>
      <c r="M946" s="10">
        <v>2528.16</v>
      </c>
      <c r="N946" s="10">
        <f t="shared" si="180"/>
        <v>29901.08</v>
      </c>
    </row>
    <row r="947" spans="1:14" x14ac:dyDescent="0.2">
      <c r="A947" s="17" t="s">
        <v>586</v>
      </c>
      <c r="B947" s="10">
        <v>4512.1400000000003</v>
      </c>
      <c r="C947" s="10">
        <v>3738.15</v>
      </c>
      <c r="D947" s="10">
        <v>1892.48</v>
      </c>
      <c r="E947" s="10">
        <v>4952.72</v>
      </c>
      <c r="F947" s="10">
        <v>5929.14</v>
      </c>
      <c r="G947" s="10">
        <v>2285.4299999999998</v>
      </c>
      <c r="H947" s="10">
        <v>3500</v>
      </c>
      <c r="I947" s="10">
        <v>3500</v>
      </c>
      <c r="J947" s="10">
        <v>2285.4299999999998</v>
      </c>
      <c r="K947" s="10">
        <v>3745</v>
      </c>
      <c r="L947" s="10">
        <v>3745</v>
      </c>
      <c r="M947" s="10">
        <v>3298.67</v>
      </c>
      <c r="N947" s="10">
        <f t="shared" si="180"/>
        <v>43384.160000000003</v>
      </c>
    </row>
    <row r="948" spans="1:14" x14ac:dyDescent="0.2">
      <c r="A948" s="17" t="s">
        <v>587</v>
      </c>
      <c r="B948" s="10">
        <v>4150.1400000000003</v>
      </c>
      <c r="C948" s="10">
        <v>2585.67</v>
      </c>
      <c r="D948" s="10">
        <v>5130.4799999999996</v>
      </c>
      <c r="E948" s="10">
        <v>3927.14</v>
      </c>
      <c r="F948" s="10">
        <v>-871.24</v>
      </c>
      <c r="G948" s="10">
        <v>4246.4799999999996</v>
      </c>
      <c r="H948" s="10">
        <v>1815.17</v>
      </c>
      <c r="I948" s="10">
        <v>2188.38</v>
      </c>
      <c r="J948" s="10">
        <v>2361.87</v>
      </c>
      <c r="K948" s="10">
        <v>2562.84</v>
      </c>
      <c r="L948" s="10">
        <v>5840.07</v>
      </c>
      <c r="M948" s="10">
        <v>2243.08</v>
      </c>
      <c r="N948" s="10">
        <f t="shared" si="180"/>
        <v>36180.080000000002</v>
      </c>
    </row>
    <row r="949" spans="1:14" x14ac:dyDescent="0.2">
      <c r="A949" s="17" t="s">
        <v>588</v>
      </c>
      <c r="B949" s="10">
        <v>0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192.22</v>
      </c>
      <c r="I949" s="10">
        <v>192.22</v>
      </c>
      <c r="J949" s="10">
        <v>192.22</v>
      </c>
      <c r="K949" s="10">
        <v>192.22</v>
      </c>
      <c r="L949" s="10">
        <v>192.22</v>
      </c>
      <c r="M949" s="10">
        <v>192.22</v>
      </c>
      <c r="N949" s="10">
        <f t="shared" si="180"/>
        <v>1153.32</v>
      </c>
    </row>
    <row r="950" spans="1:14" x14ac:dyDescent="0.2">
      <c r="A950" s="17" t="s">
        <v>589</v>
      </c>
      <c r="B950" s="10">
        <v>0</v>
      </c>
      <c r="C950" s="10">
        <v>0</v>
      </c>
      <c r="D950" s="10">
        <v>0</v>
      </c>
      <c r="E950" s="10">
        <v>3447</v>
      </c>
      <c r="F950" s="10">
        <v>223.35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f t="shared" si="180"/>
        <v>3670.35</v>
      </c>
    </row>
    <row r="951" spans="1:14" x14ac:dyDescent="0.2">
      <c r="A951" s="17" t="s">
        <v>590</v>
      </c>
      <c r="B951" s="10">
        <v>349.65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-1815</v>
      </c>
      <c r="L951" s="10">
        <v>0</v>
      </c>
      <c r="M951" s="10">
        <v>0</v>
      </c>
      <c r="N951" s="10">
        <f t="shared" si="180"/>
        <v>-1465.35</v>
      </c>
    </row>
    <row r="952" spans="1:14" x14ac:dyDescent="0.2">
      <c r="A952" s="17" t="s">
        <v>591</v>
      </c>
      <c r="B952" s="10">
        <v>2844.81</v>
      </c>
      <c r="C952" s="10">
        <v>2301.56</v>
      </c>
      <c r="D952" s="10">
        <v>1689.06</v>
      </c>
      <c r="E952" s="10">
        <v>3304.88</v>
      </c>
      <c r="F952" s="10">
        <v>1395.8</v>
      </c>
      <c r="G952" s="10">
        <v>2982.57</v>
      </c>
      <c r="H952" s="10">
        <v>3512.71</v>
      </c>
      <c r="I952" s="10">
        <v>2702.02</v>
      </c>
      <c r="J952" s="10">
        <v>1627</v>
      </c>
      <c r="K952" s="10">
        <v>2036.55</v>
      </c>
      <c r="L952" s="10">
        <v>1627</v>
      </c>
      <c r="M952" s="10">
        <v>1627</v>
      </c>
      <c r="N952" s="10">
        <f t="shared" si="180"/>
        <v>27650.959999999999</v>
      </c>
    </row>
    <row r="953" spans="1:14" x14ac:dyDescent="0.2">
      <c r="A953" s="17" t="s">
        <v>592</v>
      </c>
      <c r="B953" s="10">
        <v>750.96</v>
      </c>
      <c r="C953" s="10">
        <v>0</v>
      </c>
      <c r="D953" s="10">
        <v>1385.92</v>
      </c>
      <c r="E953" s="10">
        <v>331.34</v>
      </c>
      <c r="F953" s="10">
        <v>740.32</v>
      </c>
      <c r="G953" s="10">
        <v>471.76</v>
      </c>
      <c r="H953" s="10">
        <v>742.16</v>
      </c>
      <c r="I953" s="10">
        <v>950.44</v>
      </c>
      <c r="J953" s="10">
        <v>1060.8499999999999</v>
      </c>
      <c r="K953" s="10">
        <v>0</v>
      </c>
      <c r="L953" s="10">
        <v>2039.33</v>
      </c>
      <c r="M953" s="10">
        <v>2023.79</v>
      </c>
      <c r="N953" s="10">
        <f t="shared" si="180"/>
        <v>10496.869999999999</v>
      </c>
    </row>
    <row r="954" spans="1:14" x14ac:dyDescent="0.2">
      <c r="A954" s="17" t="s">
        <v>593</v>
      </c>
      <c r="B954" s="10">
        <v>3770.12</v>
      </c>
      <c r="C954" s="10">
        <v>9894.7199999999993</v>
      </c>
      <c r="D954" s="10">
        <v>0</v>
      </c>
      <c r="E954" s="10">
        <v>3557.65</v>
      </c>
      <c r="F954" s="10">
        <v>548.75</v>
      </c>
      <c r="G954" s="10">
        <v>5926.95</v>
      </c>
      <c r="H954" s="10">
        <v>0</v>
      </c>
      <c r="I954" s="10">
        <v>597.83000000000004</v>
      </c>
      <c r="J954" s="10">
        <v>-536.5</v>
      </c>
      <c r="K954" s="10">
        <v>0</v>
      </c>
      <c r="L954" s="10">
        <v>0</v>
      </c>
      <c r="M954" s="10">
        <v>1455.96</v>
      </c>
      <c r="N954" s="10">
        <f t="shared" si="180"/>
        <v>25215.480000000003</v>
      </c>
    </row>
    <row r="955" spans="1:14" x14ac:dyDescent="0.2">
      <c r="A955" s="17" t="s">
        <v>594</v>
      </c>
      <c r="B955" s="10">
        <v>0</v>
      </c>
      <c r="C955" s="10">
        <v>0</v>
      </c>
      <c r="D955" s="10">
        <v>0</v>
      </c>
      <c r="E955" s="10">
        <v>0</v>
      </c>
      <c r="F955" s="10">
        <v>200.78</v>
      </c>
      <c r="G955" s="10">
        <v>0</v>
      </c>
      <c r="H955" s="10">
        <v>214.37</v>
      </c>
      <c r="I955" s="10">
        <v>0</v>
      </c>
      <c r="J955" s="10">
        <v>1378.92</v>
      </c>
      <c r="K955" s="10">
        <v>2423.27</v>
      </c>
      <c r="L955" s="10">
        <v>910.29</v>
      </c>
      <c r="M955" s="10">
        <v>0</v>
      </c>
      <c r="N955" s="10">
        <f t="shared" si="180"/>
        <v>5127.63</v>
      </c>
    </row>
    <row r="956" spans="1:14" x14ac:dyDescent="0.2">
      <c r="A956" s="17" t="s">
        <v>595</v>
      </c>
      <c r="B956" s="10">
        <v>486.32</v>
      </c>
      <c r="C956" s="10">
        <v>487.92</v>
      </c>
      <c r="D956" s="10">
        <v>488.14</v>
      </c>
      <c r="E956" s="10">
        <v>488.14</v>
      </c>
      <c r="F956" s="10">
        <v>488.07</v>
      </c>
      <c r="G956" s="10">
        <v>346.69</v>
      </c>
      <c r="H956" s="10">
        <v>334.39</v>
      </c>
      <c r="I956" s="10">
        <v>733.84</v>
      </c>
      <c r="J956" s="10">
        <v>467.54</v>
      </c>
      <c r="K956" s="10">
        <v>467.54</v>
      </c>
      <c r="L956" s="10">
        <v>480.59</v>
      </c>
      <c r="M956" s="10">
        <v>480.57</v>
      </c>
      <c r="N956" s="10">
        <f t="shared" si="180"/>
        <v>5749.75</v>
      </c>
    </row>
    <row r="957" spans="1:14" x14ac:dyDescent="0.2">
      <c r="A957" s="17" t="s">
        <v>596</v>
      </c>
      <c r="B957" s="10">
        <v>14078.24</v>
      </c>
      <c r="C957" s="10">
        <v>5824.54</v>
      </c>
      <c r="D957" s="10">
        <v>1192.29</v>
      </c>
      <c r="E957" s="10">
        <v>1192.31</v>
      </c>
      <c r="F957" s="10">
        <v>1638.37</v>
      </c>
      <c r="G957" s="10">
        <v>679.07</v>
      </c>
      <c r="H957" s="10">
        <v>5126.63</v>
      </c>
      <c r="I957" s="10">
        <v>822.4</v>
      </c>
      <c r="J957" s="10">
        <v>261.70999999999998</v>
      </c>
      <c r="K957" s="10">
        <v>822.4</v>
      </c>
      <c r="L957" s="10">
        <v>3606.1</v>
      </c>
      <c r="M957" s="10">
        <v>1909.11</v>
      </c>
      <c r="N957" s="10">
        <f t="shared" si="180"/>
        <v>37153.170000000006</v>
      </c>
    </row>
    <row r="958" spans="1:14" x14ac:dyDescent="0.2">
      <c r="A958" s="17" t="s">
        <v>597</v>
      </c>
      <c r="B958" s="10">
        <v>876.05</v>
      </c>
      <c r="C958" s="10">
        <v>234.9</v>
      </c>
      <c r="D958" s="10">
        <v>2945.77</v>
      </c>
      <c r="E958" s="10">
        <v>293.08999999999997</v>
      </c>
      <c r="F958" s="10">
        <v>131.66</v>
      </c>
      <c r="G958" s="10">
        <v>882.72</v>
      </c>
      <c r="H958" s="10">
        <v>1445.4</v>
      </c>
      <c r="I958" s="10">
        <v>174.28</v>
      </c>
      <c r="J958" s="10">
        <v>1224.04</v>
      </c>
      <c r="K958" s="10">
        <v>513.98</v>
      </c>
      <c r="L958" s="10">
        <v>0</v>
      </c>
      <c r="M958" s="10">
        <v>554.30999999999995</v>
      </c>
      <c r="N958" s="10">
        <f t="shared" si="180"/>
        <v>9276.1999999999989</v>
      </c>
    </row>
    <row r="959" spans="1:14" x14ac:dyDescent="0.2">
      <c r="A959" s="17" t="s">
        <v>598</v>
      </c>
      <c r="B959" s="10">
        <v>1320.65</v>
      </c>
      <c r="C959" s="10">
        <v>0</v>
      </c>
      <c r="D959" s="10">
        <v>0</v>
      </c>
      <c r="E959" s="10">
        <v>0</v>
      </c>
      <c r="F959" s="10">
        <v>0</v>
      </c>
      <c r="G959" s="10">
        <v>0</v>
      </c>
      <c r="H959" s="10">
        <v>0</v>
      </c>
      <c r="I959" s="10">
        <v>0</v>
      </c>
      <c r="J959" s="10">
        <v>-1320.65</v>
      </c>
      <c r="K959" s="10">
        <v>0</v>
      </c>
      <c r="L959" s="10">
        <v>0</v>
      </c>
      <c r="M959" s="10">
        <v>0</v>
      </c>
      <c r="N959" s="10">
        <f t="shared" si="180"/>
        <v>0</v>
      </c>
    </row>
    <row r="960" spans="1:14" x14ac:dyDescent="0.2">
      <c r="A960" s="17" t="s">
        <v>599</v>
      </c>
      <c r="B960" s="10">
        <v>0</v>
      </c>
      <c r="C960" s="10">
        <v>0</v>
      </c>
      <c r="D960" s="10">
        <v>87.68</v>
      </c>
      <c r="E960" s="10">
        <v>0</v>
      </c>
      <c r="F960" s="10">
        <v>260.20999999999998</v>
      </c>
      <c r="G960" s="10">
        <v>0</v>
      </c>
      <c r="H960" s="10">
        <v>178.58</v>
      </c>
      <c r="I960" s="10">
        <v>26.28</v>
      </c>
      <c r="J960" s="10">
        <v>558.49</v>
      </c>
      <c r="K960" s="10">
        <v>974.25</v>
      </c>
      <c r="L960" s="10">
        <v>1622.12</v>
      </c>
      <c r="M960" s="10">
        <v>0</v>
      </c>
      <c r="N960" s="10">
        <f t="shared" si="180"/>
        <v>3707.6099999999997</v>
      </c>
    </row>
    <row r="961" spans="1:14" x14ac:dyDescent="0.2">
      <c r="A961" s="17" t="s">
        <v>600</v>
      </c>
      <c r="B961" s="10">
        <v>1630.12</v>
      </c>
      <c r="C961" s="10">
        <v>0</v>
      </c>
      <c r="D961" s="10">
        <v>1611.84</v>
      </c>
      <c r="E961" s="10">
        <v>2757.39</v>
      </c>
      <c r="F961" s="10">
        <v>390.03</v>
      </c>
      <c r="G961" s="10">
        <v>756.03</v>
      </c>
      <c r="H961" s="10">
        <v>1798.99</v>
      </c>
      <c r="I961" s="10">
        <v>0</v>
      </c>
      <c r="J961" s="10">
        <v>0</v>
      </c>
      <c r="K961" s="10">
        <v>1921.02</v>
      </c>
      <c r="L961" s="10">
        <v>971.74</v>
      </c>
      <c r="M961" s="10">
        <v>799.91</v>
      </c>
      <c r="N961" s="10">
        <f t="shared" si="180"/>
        <v>12637.07</v>
      </c>
    </row>
    <row r="962" spans="1:14" x14ac:dyDescent="0.2">
      <c r="A962" s="17" t="s">
        <v>601</v>
      </c>
      <c r="B962" s="10">
        <v>4853.72</v>
      </c>
      <c r="C962" s="10">
        <v>185</v>
      </c>
      <c r="D962" s="10">
        <v>4915.84</v>
      </c>
      <c r="E962" s="10">
        <v>1891.53</v>
      </c>
      <c r="F962" s="10">
        <v>3318.03</v>
      </c>
      <c r="G962" s="10">
        <v>3917.04</v>
      </c>
      <c r="H962" s="10">
        <v>8437.18</v>
      </c>
      <c r="I962" s="10">
        <v>5391.28</v>
      </c>
      <c r="J962" s="10">
        <v>2592.11</v>
      </c>
      <c r="K962" s="10">
        <v>9269.1299999999992</v>
      </c>
      <c r="L962" s="10">
        <v>17450.919999999998</v>
      </c>
      <c r="M962" s="10">
        <v>3774.52</v>
      </c>
      <c r="N962" s="10">
        <f t="shared" si="180"/>
        <v>65996.3</v>
      </c>
    </row>
    <row r="963" spans="1:14" x14ac:dyDescent="0.2">
      <c r="A963" s="17" t="s">
        <v>602</v>
      </c>
      <c r="B963" s="10">
        <v>745.76</v>
      </c>
      <c r="C963" s="10">
        <v>745.76</v>
      </c>
      <c r="D963" s="10">
        <v>913.92</v>
      </c>
      <c r="E963" s="10">
        <v>2404.2199999999998</v>
      </c>
      <c r="F963" s="10">
        <v>745.76</v>
      </c>
      <c r="G963" s="10">
        <v>745.76</v>
      </c>
      <c r="H963" s="10">
        <v>1082.2</v>
      </c>
      <c r="I963" s="10">
        <v>2102.33</v>
      </c>
      <c r="J963" s="10">
        <v>745.76</v>
      </c>
      <c r="K963" s="10">
        <v>1070.28</v>
      </c>
      <c r="L963" s="10">
        <v>768.13</v>
      </c>
      <c r="M963" s="10">
        <v>5268.13</v>
      </c>
      <c r="N963" s="10">
        <f t="shared" si="180"/>
        <v>17338.009999999998</v>
      </c>
    </row>
    <row r="964" spans="1:14" x14ac:dyDescent="0.2">
      <c r="A964" s="17" t="s">
        <v>603</v>
      </c>
      <c r="B964" s="10">
        <v>0</v>
      </c>
      <c r="C964" s="10">
        <v>213.57</v>
      </c>
      <c r="D964" s="10">
        <v>0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f t="shared" si="180"/>
        <v>213.57</v>
      </c>
    </row>
    <row r="965" spans="1:14" x14ac:dyDescent="0.2">
      <c r="A965" s="17" t="s">
        <v>604</v>
      </c>
      <c r="B965" s="10">
        <v>0</v>
      </c>
      <c r="C965" s="10">
        <v>0</v>
      </c>
      <c r="D965" s="10">
        <v>0</v>
      </c>
      <c r="E965" s="10">
        <v>0</v>
      </c>
      <c r="F965" s="10">
        <v>536.69000000000005</v>
      </c>
      <c r="G965" s="10">
        <v>405.94</v>
      </c>
      <c r="H965" s="10">
        <v>0</v>
      </c>
      <c r="I965" s="10">
        <v>0</v>
      </c>
      <c r="J965" s="10">
        <v>1743.57</v>
      </c>
      <c r="K965" s="10">
        <v>1577.36</v>
      </c>
      <c r="L965" s="10">
        <v>0</v>
      </c>
      <c r="M965" s="10">
        <v>0</v>
      </c>
      <c r="N965" s="10">
        <f t="shared" si="180"/>
        <v>4263.5599999999995</v>
      </c>
    </row>
    <row r="966" spans="1:14" x14ac:dyDescent="0.2">
      <c r="A966" s="17" t="s">
        <v>605</v>
      </c>
      <c r="B966" s="10">
        <v>0</v>
      </c>
      <c r="C966" s="10">
        <v>0</v>
      </c>
      <c r="D966" s="10">
        <v>487.25</v>
      </c>
      <c r="E966" s="10">
        <v>0</v>
      </c>
      <c r="F966" s="10">
        <v>214.22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f t="shared" si="180"/>
        <v>701.47</v>
      </c>
    </row>
    <row r="967" spans="1:14" x14ac:dyDescent="0.2">
      <c r="A967" s="17" t="s">
        <v>606</v>
      </c>
      <c r="B967" s="10">
        <v>1502.5</v>
      </c>
      <c r="C967" s="10">
        <v>4434.6899999999996</v>
      </c>
      <c r="D967" s="10">
        <v>194.85</v>
      </c>
      <c r="E967" s="10">
        <v>0</v>
      </c>
      <c r="F967" s="10">
        <v>0</v>
      </c>
      <c r="G967" s="10">
        <v>180</v>
      </c>
      <c r="H967" s="10">
        <v>0</v>
      </c>
      <c r="I967" s="10">
        <v>0</v>
      </c>
      <c r="J967" s="10">
        <v>1656.23</v>
      </c>
      <c r="K967" s="10">
        <v>0</v>
      </c>
      <c r="L967" s="10">
        <v>0</v>
      </c>
      <c r="M967" s="10">
        <v>0</v>
      </c>
      <c r="N967" s="10">
        <f t="shared" si="180"/>
        <v>7968.27</v>
      </c>
    </row>
    <row r="968" spans="1:14" x14ac:dyDescent="0.2">
      <c r="A968" s="17" t="s">
        <v>607</v>
      </c>
      <c r="B968" s="10">
        <v>0</v>
      </c>
      <c r="C968" s="10">
        <v>0</v>
      </c>
      <c r="D968" s="10">
        <v>0</v>
      </c>
      <c r="E968" s="10">
        <v>0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1142.78</v>
      </c>
      <c r="L968" s="10">
        <v>0</v>
      </c>
      <c r="M968" s="10">
        <v>1500</v>
      </c>
      <c r="N968" s="10">
        <f t="shared" si="180"/>
        <v>2642.7799999999997</v>
      </c>
    </row>
    <row r="969" spans="1:14" x14ac:dyDescent="0.2">
      <c r="A969" s="17" t="s">
        <v>608</v>
      </c>
      <c r="B969" s="10">
        <v>0</v>
      </c>
      <c r="C969" s="10">
        <v>0</v>
      </c>
      <c r="D969" s="10">
        <v>0</v>
      </c>
      <c r="E969" s="10">
        <v>0</v>
      </c>
      <c r="F969" s="10">
        <v>351.39</v>
      </c>
      <c r="G969" s="10">
        <v>175.55</v>
      </c>
      <c r="H969" s="10">
        <v>0</v>
      </c>
      <c r="I969" s="10">
        <v>234.85</v>
      </c>
      <c r="J969" s="10">
        <v>0</v>
      </c>
      <c r="K969" s="10">
        <v>0</v>
      </c>
      <c r="L969" s="10">
        <v>117.25</v>
      </c>
      <c r="M969" s="10">
        <v>173.09</v>
      </c>
      <c r="N969" s="10">
        <f t="shared" si="180"/>
        <v>1052.1300000000001</v>
      </c>
    </row>
    <row r="970" spans="1:14" x14ac:dyDescent="0.2">
      <c r="A970" s="17" t="s">
        <v>609</v>
      </c>
      <c r="B970" s="10">
        <v>974.25</v>
      </c>
      <c r="C970" s="10">
        <v>974.25</v>
      </c>
      <c r="D970" s="10">
        <v>1065.8800000000001</v>
      </c>
      <c r="E970" s="10">
        <v>1109.56</v>
      </c>
      <c r="F970" s="10">
        <v>1333.33</v>
      </c>
      <c r="G970" s="10">
        <v>1272.98</v>
      </c>
      <c r="H970" s="10">
        <v>1353.12</v>
      </c>
      <c r="I970" s="10">
        <v>974.25</v>
      </c>
      <c r="J970" s="10">
        <v>974.25</v>
      </c>
      <c r="K970" s="10">
        <v>974.25</v>
      </c>
      <c r="L970" s="10">
        <v>2192.06</v>
      </c>
      <c r="M970" s="10">
        <v>2192.06</v>
      </c>
      <c r="N970" s="10">
        <f t="shared" si="180"/>
        <v>15390.239999999998</v>
      </c>
    </row>
    <row r="971" spans="1:14" ht="4.95" customHeight="1" x14ac:dyDescent="0.2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r="972" spans="1:14" ht="4.95" customHeight="1" x14ac:dyDescent="0.2"/>
    <row r="973" spans="1:14" x14ac:dyDescent="0.2">
      <c r="A973" s="16" t="s">
        <v>137</v>
      </c>
      <c r="B973" s="9">
        <f t="shared" ref="B973:N973" si="181">SUM(B944:B970)</f>
        <v>44739.570000000007</v>
      </c>
      <c r="C973" s="9">
        <f t="shared" si="181"/>
        <v>37528.269999999997</v>
      </c>
      <c r="D973" s="9">
        <f t="shared" si="181"/>
        <v>28620.719999999998</v>
      </c>
      <c r="E973" s="9">
        <f t="shared" si="181"/>
        <v>36754.22</v>
      </c>
      <c r="F973" s="9">
        <f t="shared" si="181"/>
        <v>25657.839999999997</v>
      </c>
      <c r="G973" s="9">
        <f t="shared" si="181"/>
        <v>32791.979999999996</v>
      </c>
      <c r="H973" s="9">
        <f t="shared" si="181"/>
        <v>42158.920000000006</v>
      </c>
      <c r="I973" s="9">
        <f t="shared" si="181"/>
        <v>22973.269999999997</v>
      </c>
      <c r="J973" s="9">
        <f t="shared" si="181"/>
        <v>21039.53</v>
      </c>
      <c r="K973" s="9">
        <f t="shared" si="181"/>
        <v>31972</v>
      </c>
      <c r="L973" s="9">
        <f t="shared" si="181"/>
        <v>49315.44999999999</v>
      </c>
      <c r="M973" s="9">
        <f t="shared" si="181"/>
        <v>34552.020000000004</v>
      </c>
      <c r="N973" s="9">
        <f t="shared" si="181"/>
        <v>408103.79000000004</v>
      </c>
    </row>
    <row r="974" spans="1:14" ht="4.95" customHeight="1" x14ac:dyDescent="0.2"/>
    <row r="975" spans="1:14" ht="4.95" customHeight="1" x14ac:dyDescent="0.2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spans="1:14" ht="4.95" customHeight="1" x14ac:dyDescent="0.2"/>
    <row r="977" spans="1:14" x14ac:dyDescent="0.2">
      <c r="A977" s="16" t="s">
        <v>610</v>
      </c>
      <c r="B977" s="9">
        <f t="shared" ref="B977:N977" si="182">B941+B973</f>
        <v>76367.420000000013</v>
      </c>
      <c r="C977" s="9">
        <f t="shared" si="182"/>
        <v>66446.48</v>
      </c>
      <c r="D977" s="9">
        <f t="shared" si="182"/>
        <v>59050.2</v>
      </c>
      <c r="E977" s="9">
        <f t="shared" si="182"/>
        <v>66526.12</v>
      </c>
      <c r="F977" s="9">
        <f t="shared" si="182"/>
        <v>54981.7</v>
      </c>
      <c r="G977" s="9">
        <f t="shared" si="182"/>
        <v>65910.509999999995</v>
      </c>
      <c r="H977" s="9">
        <f t="shared" si="182"/>
        <v>71515.679999999993</v>
      </c>
      <c r="I977" s="9">
        <f t="shared" si="182"/>
        <v>55054.549999999996</v>
      </c>
      <c r="J977" s="9">
        <f t="shared" si="182"/>
        <v>55587.13</v>
      </c>
      <c r="K977" s="9">
        <f t="shared" si="182"/>
        <v>67471.16</v>
      </c>
      <c r="L977" s="9">
        <f t="shared" si="182"/>
        <v>82900.799999999988</v>
      </c>
      <c r="M977" s="9">
        <f t="shared" si="182"/>
        <v>65042.170000000006</v>
      </c>
      <c r="N977" s="9">
        <f t="shared" si="182"/>
        <v>786853.92</v>
      </c>
    </row>
    <row r="978" spans="1:14" ht="4.95" customHeight="1" x14ac:dyDescent="0.2"/>
    <row r="979" spans="1:14" x14ac:dyDescent="0.2">
      <c r="A979" s="16" t="s">
        <v>611</v>
      </c>
      <c r="B979" s="9">
        <f t="shared" ref="B979:N979" si="183">B977</f>
        <v>76367.420000000013</v>
      </c>
      <c r="C979" s="9">
        <f t="shared" si="183"/>
        <v>66446.48</v>
      </c>
      <c r="D979" s="9">
        <f t="shared" si="183"/>
        <v>59050.2</v>
      </c>
      <c r="E979" s="9">
        <f t="shared" si="183"/>
        <v>66526.12</v>
      </c>
      <c r="F979" s="9">
        <f t="shared" si="183"/>
        <v>54981.7</v>
      </c>
      <c r="G979" s="9">
        <f t="shared" si="183"/>
        <v>65910.509999999995</v>
      </c>
      <c r="H979" s="9">
        <f t="shared" si="183"/>
        <v>71515.679999999993</v>
      </c>
      <c r="I979" s="9">
        <f t="shared" si="183"/>
        <v>55054.549999999996</v>
      </c>
      <c r="J979" s="9">
        <f t="shared" si="183"/>
        <v>55587.13</v>
      </c>
      <c r="K979" s="9">
        <f t="shared" si="183"/>
        <v>67471.16</v>
      </c>
      <c r="L979" s="9">
        <f t="shared" si="183"/>
        <v>82900.799999999988</v>
      </c>
      <c r="M979" s="9">
        <f t="shared" si="183"/>
        <v>65042.170000000006</v>
      </c>
      <c r="N979" s="9">
        <f t="shared" si="183"/>
        <v>786853.92</v>
      </c>
    </row>
    <row r="980" spans="1:14" ht="4.95" customHeight="1" x14ac:dyDescent="0.2"/>
    <row r="981" spans="1:14" x14ac:dyDescent="0.2">
      <c r="A981" s="16" t="s">
        <v>39</v>
      </c>
    </row>
    <row r="983" spans="1:14" x14ac:dyDescent="0.2">
      <c r="A983" s="16" t="s">
        <v>612</v>
      </c>
    </row>
    <row r="984" spans="1:14" x14ac:dyDescent="0.2">
      <c r="A984" s="17" t="s">
        <v>613</v>
      </c>
      <c r="B984" s="10">
        <v>25839.73</v>
      </c>
      <c r="C984" s="10">
        <v>24130.51</v>
      </c>
      <c r="D984" s="10">
        <v>24135.93</v>
      </c>
      <c r="E984" s="10">
        <v>27008.31</v>
      </c>
      <c r="F984" s="10">
        <v>24235.25</v>
      </c>
      <c r="G984" s="10">
        <v>24251.360000000001</v>
      </c>
      <c r="H984" s="10">
        <v>27758.87</v>
      </c>
      <c r="I984" s="10">
        <v>24445.8</v>
      </c>
      <c r="J984" s="10">
        <v>28235.56</v>
      </c>
      <c r="K984" s="10">
        <v>25236.85</v>
      </c>
      <c r="L984" s="10">
        <v>25574.17</v>
      </c>
      <c r="M984" s="10">
        <v>25184.99</v>
      </c>
      <c r="N984" s="10">
        <f>B984+C984+D984+E984+F984+G984+H984+I984+J984+K984+L984+M984</f>
        <v>306037.32999999996</v>
      </c>
    </row>
    <row r="985" spans="1:14" x14ac:dyDescent="0.2">
      <c r="A985" s="17" t="s">
        <v>614</v>
      </c>
      <c r="B985" s="10">
        <v>11660.49</v>
      </c>
      <c r="C985" s="10">
        <v>16895.490000000002</v>
      </c>
      <c r="D985" s="10">
        <v>15005.49</v>
      </c>
      <c r="E985" s="10">
        <v>25850.84</v>
      </c>
      <c r="F985" s="10">
        <v>14176.07</v>
      </c>
      <c r="G985" s="10">
        <v>21889.07</v>
      </c>
      <c r="H985" s="10">
        <v>17398.39</v>
      </c>
      <c r="I985" s="10">
        <v>13473.33</v>
      </c>
      <c r="J985" s="10">
        <v>17929.73</v>
      </c>
      <c r="K985" s="10">
        <v>23534.51</v>
      </c>
      <c r="L985" s="10">
        <v>12941.99</v>
      </c>
      <c r="M985" s="10">
        <v>15821.51</v>
      </c>
      <c r="N985" s="10">
        <f>B985+C985+D985+E985+F985+G985+H985+I985+J985+K985+L985+M985</f>
        <v>206576.91000000003</v>
      </c>
    </row>
    <row r="986" spans="1:14" x14ac:dyDescent="0.2">
      <c r="A986" s="17" t="s">
        <v>615</v>
      </c>
      <c r="B986" s="10">
        <v>7884.83</v>
      </c>
      <c r="C986" s="10">
        <v>8287.08</v>
      </c>
      <c r="D986" s="10">
        <v>7391.26</v>
      </c>
      <c r="E986" s="10">
        <v>8374.98</v>
      </c>
      <c r="F986" s="10">
        <v>8083.79</v>
      </c>
      <c r="G986" s="10">
        <v>8003.8</v>
      </c>
      <c r="H986" s="10">
        <v>6277.07</v>
      </c>
      <c r="I986" s="10">
        <v>3632.21</v>
      </c>
      <c r="J986" s="10">
        <v>5612.69</v>
      </c>
      <c r="K986" s="10">
        <v>6088.14</v>
      </c>
      <c r="L986" s="10">
        <v>7286.43</v>
      </c>
      <c r="M986" s="10">
        <v>7162.36</v>
      </c>
      <c r="N986" s="10">
        <f>B986+C986+D986+E986+F986+G986+H986+I986+J986+K986+L986+M986</f>
        <v>84084.64</v>
      </c>
    </row>
    <row r="987" spans="1:14" x14ac:dyDescent="0.2">
      <c r="A987" s="17" t="s">
        <v>616</v>
      </c>
      <c r="B987" s="10">
        <v>43952</v>
      </c>
      <c r="C987" s="10">
        <v>38037</v>
      </c>
      <c r="D987" s="10">
        <v>60909</v>
      </c>
      <c r="E987" s="10">
        <v>54134</v>
      </c>
      <c r="F987" s="10">
        <v>68187</v>
      </c>
      <c r="G987" s="10">
        <v>78691</v>
      </c>
      <c r="H987" s="10">
        <v>124292</v>
      </c>
      <c r="I987" s="10">
        <v>125439</v>
      </c>
      <c r="J987" s="10">
        <v>125000</v>
      </c>
      <c r="K987" s="10">
        <v>96186</v>
      </c>
      <c r="L987" s="10">
        <v>64315</v>
      </c>
      <c r="M987" s="10">
        <v>38933</v>
      </c>
      <c r="N987" s="10">
        <f>B987+C987+D987+E987+F987+G987+H987+I987+J987+K987+L987+M987</f>
        <v>918075</v>
      </c>
    </row>
    <row r="988" spans="1:14" x14ac:dyDescent="0.2">
      <c r="A988" s="17" t="s">
        <v>617</v>
      </c>
      <c r="B988" s="10">
        <v>2959.62</v>
      </c>
      <c r="C988" s="10">
        <v>814.73</v>
      </c>
      <c r="D988" s="10">
        <v>3857.01</v>
      </c>
      <c r="E988" s="10">
        <v>2076.33</v>
      </c>
      <c r="F988" s="10">
        <v>2063.4699999999998</v>
      </c>
      <c r="G988" s="10">
        <v>3279.27</v>
      </c>
      <c r="H988" s="10">
        <v>2946.67</v>
      </c>
      <c r="I988" s="10">
        <v>2021.51</v>
      </c>
      <c r="J988" s="10">
        <v>3771.18</v>
      </c>
      <c r="K988" s="10">
        <v>2484.52</v>
      </c>
      <c r="L988" s="10">
        <v>2250.04</v>
      </c>
      <c r="M988" s="10">
        <v>2163.13</v>
      </c>
      <c r="N988" s="10">
        <f>B988+C988+D988+E988+F988+G988+H988+I988+J988+K988+L988+M988</f>
        <v>30687.48</v>
      </c>
    </row>
    <row r="989" spans="1:14" ht="4.95" customHeight="1" x14ac:dyDescent="0.2"/>
    <row r="990" spans="1:14" ht="4.95" customHeight="1" x14ac:dyDescent="0.2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r="991" spans="1:14" ht="4.95" customHeight="1" x14ac:dyDescent="0.2"/>
    <row r="992" spans="1:14" x14ac:dyDescent="0.2">
      <c r="A992" s="16" t="s">
        <v>618</v>
      </c>
      <c r="B992" s="9">
        <f t="shared" ref="B992:N992" si="184">SUM(B984:B988)</f>
        <v>92296.67</v>
      </c>
      <c r="C992" s="9">
        <f t="shared" si="184"/>
        <v>88164.81</v>
      </c>
      <c r="D992" s="9">
        <f t="shared" si="184"/>
        <v>111298.68999999999</v>
      </c>
      <c r="E992" s="9">
        <f t="shared" si="184"/>
        <v>117444.46</v>
      </c>
      <c r="F992" s="9">
        <f t="shared" si="184"/>
        <v>116745.58</v>
      </c>
      <c r="G992" s="9">
        <f t="shared" si="184"/>
        <v>136114.5</v>
      </c>
      <c r="H992" s="9">
        <f t="shared" si="184"/>
        <v>178673</v>
      </c>
      <c r="I992" s="9">
        <f t="shared" si="184"/>
        <v>169011.85</v>
      </c>
      <c r="J992" s="9">
        <f t="shared" si="184"/>
        <v>180549.16</v>
      </c>
      <c r="K992" s="9">
        <f t="shared" si="184"/>
        <v>153530.01999999999</v>
      </c>
      <c r="L992" s="9">
        <f t="shared" si="184"/>
        <v>112367.62999999999</v>
      </c>
      <c r="M992" s="9">
        <f t="shared" si="184"/>
        <v>89264.99</v>
      </c>
      <c r="N992" s="9">
        <f t="shared" si="184"/>
        <v>1545461.3599999999</v>
      </c>
    </row>
    <row r="993" spans="1:14" ht="4.95" customHeight="1" x14ac:dyDescent="0.2"/>
    <row r="994" spans="1:14" x14ac:dyDescent="0.2">
      <c r="A994" s="16" t="s">
        <v>619</v>
      </c>
      <c r="B994" s="9">
        <f t="shared" ref="B994:N994" si="185">B992</f>
        <v>92296.67</v>
      </c>
      <c r="C994" s="9">
        <f t="shared" si="185"/>
        <v>88164.81</v>
      </c>
      <c r="D994" s="9">
        <f t="shared" si="185"/>
        <v>111298.68999999999</v>
      </c>
      <c r="E994" s="9">
        <f t="shared" si="185"/>
        <v>117444.46</v>
      </c>
      <c r="F994" s="9">
        <f t="shared" si="185"/>
        <v>116745.58</v>
      </c>
      <c r="G994" s="9">
        <f t="shared" si="185"/>
        <v>136114.5</v>
      </c>
      <c r="H994" s="9">
        <f t="shared" si="185"/>
        <v>178673</v>
      </c>
      <c r="I994" s="9">
        <f t="shared" si="185"/>
        <v>169011.85</v>
      </c>
      <c r="J994" s="9">
        <f t="shared" si="185"/>
        <v>180549.16</v>
      </c>
      <c r="K994" s="9">
        <f t="shared" si="185"/>
        <v>153530.01999999999</v>
      </c>
      <c r="L994" s="9">
        <f t="shared" si="185"/>
        <v>112367.62999999999</v>
      </c>
      <c r="M994" s="9">
        <f t="shared" si="185"/>
        <v>89264.99</v>
      </c>
      <c r="N994" s="9">
        <f t="shared" si="185"/>
        <v>1545461.3599999999</v>
      </c>
    </row>
    <row r="995" spans="1:14" ht="4.95" customHeight="1" x14ac:dyDescent="0.2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r="996" spans="1:14" ht="4.95" customHeight="1" x14ac:dyDescent="0.2"/>
    <row r="997" spans="1:14" ht="4.95" customHeight="1" x14ac:dyDescent="0.2"/>
    <row r="998" spans="1:14" x14ac:dyDescent="0.2">
      <c r="A998" s="16" t="s">
        <v>31</v>
      </c>
      <c r="B998" s="9">
        <f t="shared" ref="B998:N998" si="186">B188+B341+B423+B511+B581+B651+B686+B708+B802+B848+B899+B913+B979+B994</f>
        <v>772313.81</v>
      </c>
      <c r="C998" s="9">
        <f t="shared" si="186"/>
        <v>817585.3899999999</v>
      </c>
      <c r="D998" s="9">
        <f t="shared" si="186"/>
        <v>1028657.4399999998</v>
      </c>
      <c r="E998" s="9">
        <f t="shared" si="186"/>
        <v>1020590.61</v>
      </c>
      <c r="F998" s="9">
        <f t="shared" si="186"/>
        <v>867391.23999999987</v>
      </c>
      <c r="G998" s="9">
        <f t="shared" si="186"/>
        <v>927140.50999999989</v>
      </c>
      <c r="H998" s="9">
        <f t="shared" si="186"/>
        <v>912462.40999999992</v>
      </c>
      <c r="I998" s="9">
        <f t="shared" si="186"/>
        <v>834241.28999999992</v>
      </c>
      <c r="J998" s="9">
        <f t="shared" si="186"/>
        <v>961981.84999999986</v>
      </c>
      <c r="K998" s="9">
        <f t="shared" si="186"/>
        <v>998761.9</v>
      </c>
      <c r="L998" s="9">
        <f t="shared" si="186"/>
        <v>935996.58</v>
      </c>
      <c r="M998" s="9">
        <f t="shared" si="186"/>
        <v>786974.63</v>
      </c>
      <c r="N998" s="9">
        <f t="shared" si="186"/>
        <v>10864097.659999998</v>
      </c>
    </row>
    <row r="999" spans="1:14" ht="4.95" customHeight="1" x14ac:dyDescent="0.2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r="1000" spans="1:14" ht="4.95" customHeight="1" x14ac:dyDescent="0.2"/>
    <row r="1001" spans="1:14" ht="4.95" customHeight="1" x14ac:dyDescent="0.2"/>
    <row r="1002" spans="1:14" x14ac:dyDescent="0.2">
      <c r="A1002" s="16" t="s">
        <v>41</v>
      </c>
      <c r="B1002" s="9">
        <f t="shared" ref="B1002:N1002" si="187">B743-B998</f>
        <v>285670.45999999996</v>
      </c>
      <c r="C1002" s="9">
        <f t="shared" si="187"/>
        <v>465970.69000000041</v>
      </c>
      <c r="D1002" s="9">
        <f t="shared" si="187"/>
        <v>871142.36000000022</v>
      </c>
      <c r="E1002" s="9">
        <f t="shared" si="187"/>
        <v>856751.67000000027</v>
      </c>
      <c r="F1002" s="9">
        <f t="shared" si="187"/>
        <v>405482.78999999992</v>
      </c>
      <c r="G1002" s="9">
        <f t="shared" si="187"/>
        <v>320224.19000000029</v>
      </c>
      <c r="H1002" s="9">
        <f t="shared" si="187"/>
        <v>194539.78000000003</v>
      </c>
      <c r="I1002" s="9">
        <f t="shared" si="187"/>
        <v>217881.14999999979</v>
      </c>
      <c r="J1002" s="9">
        <f t="shared" si="187"/>
        <v>529593.1100000001</v>
      </c>
      <c r="K1002" s="9">
        <f t="shared" si="187"/>
        <v>540083.10000000021</v>
      </c>
      <c r="L1002" s="9">
        <f t="shared" si="187"/>
        <v>306709.54999999993</v>
      </c>
      <c r="M1002" s="9">
        <f t="shared" si="187"/>
        <v>322021.40000000026</v>
      </c>
      <c r="N1002" s="9">
        <f t="shared" si="187"/>
        <v>5316070.25</v>
      </c>
    </row>
    <row r="1003" spans="1:14" ht="4.95" customHeight="1" x14ac:dyDescent="0.2"/>
    <row r="1004" spans="1:14" x14ac:dyDescent="0.2">
      <c r="A1004" s="16" t="s">
        <v>44</v>
      </c>
    </row>
    <row r="1006" spans="1:14" x14ac:dyDescent="0.2">
      <c r="A1006" s="16" t="s">
        <v>620</v>
      </c>
    </row>
    <row r="1007" spans="1:14" x14ac:dyDescent="0.2">
      <c r="A1007" s="17" t="s">
        <v>621</v>
      </c>
      <c r="B1007" s="10">
        <v>451.04</v>
      </c>
      <c r="C1007" s="10">
        <v>1427.12</v>
      </c>
      <c r="D1007" s="10">
        <v>15823.5</v>
      </c>
      <c r="E1007" s="10">
        <v>738.46</v>
      </c>
      <c r="F1007" s="10">
        <v>451.05</v>
      </c>
      <c r="G1007" s="10">
        <v>16747.580000000002</v>
      </c>
      <c r="H1007" s="10">
        <v>782.72</v>
      </c>
      <c r="I1007" s="10">
        <v>451.05</v>
      </c>
      <c r="J1007" s="10">
        <v>18451.03</v>
      </c>
      <c r="K1007" s="10">
        <v>814.76</v>
      </c>
      <c r="L1007" s="10">
        <v>451.04</v>
      </c>
      <c r="M1007" s="10">
        <v>12451.05</v>
      </c>
      <c r="N1007" s="10">
        <f>B1007+C1007+D1007+E1007+F1007+G1007+H1007+I1007+J1007+K1007+L1007+M1007</f>
        <v>69040.400000000009</v>
      </c>
    </row>
    <row r="1008" spans="1:14" x14ac:dyDescent="0.2">
      <c r="A1008" s="17" t="s">
        <v>622</v>
      </c>
      <c r="B1008" s="10">
        <v>534.76</v>
      </c>
      <c r="C1008" s="10">
        <v>534.76</v>
      </c>
      <c r="D1008" s="10">
        <v>270.62</v>
      </c>
      <c r="E1008" s="10">
        <v>743.68</v>
      </c>
      <c r="F1008" s="10">
        <v>743.68</v>
      </c>
      <c r="G1008" s="10">
        <v>743.68</v>
      </c>
      <c r="H1008" s="10">
        <v>743.68</v>
      </c>
      <c r="I1008" s="10">
        <v>743.68</v>
      </c>
      <c r="J1008" s="10">
        <v>743.68</v>
      </c>
      <c r="K1008" s="10">
        <v>743.68</v>
      </c>
      <c r="L1008" s="10">
        <v>743.68</v>
      </c>
      <c r="M1008" s="10">
        <v>743.68</v>
      </c>
      <c r="N1008" s="10">
        <f>B1008+C1008+D1008+E1008+F1008+G1008+H1008+I1008+J1008+K1008+L1008+M1008</f>
        <v>8033.2600000000011</v>
      </c>
    </row>
    <row r="1009" spans="1:14" ht="4.95" customHeight="1" x14ac:dyDescent="0.2"/>
    <row r="1010" spans="1:14" ht="4.95" customHeight="1" x14ac:dyDescent="0.2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</row>
    <row r="1011" spans="1:14" ht="4.95" customHeight="1" x14ac:dyDescent="0.2"/>
    <row r="1012" spans="1:14" x14ac:dyDescent="0.2">
      <c r="A1012" s="16" t="s">
        <v>623</v>
      </c>
      <c r="B1012" s="9">
        <f t="shared" ref="B1012:N1012" si="188">SUM(B1007:B1008)</f>
        <v>985.8</v>
      </c>
      <c r="C1012" s="9">
        <f t="shared" si="188"/>
        <v>1961.8799999999999</v>
      </c>
      <c r="D1012" s="9">
        <f t="shared" si="188"/>
        <v>16094.12</v>
      </c>
      <c r="E1012" s="9">
        <f t="shared" si="188"/>
        <v>1482.1399999999999</v>
      </c>
      <c r="F1012" s="9">
        <f t="shared" si="188"/>
        <v>1194.73</v>
      </c>
      <c r="G1012" s="9">
        <f t="shared" si="188"/>
        <v>17491.260000000002</v>
      </c>
      <c r="H1012" s="9">
        <f t="shared" si="188"/>
        <v>1526.4</v>
      </c>
      <c r="I1012" s="9">
        <f t="shared" si="188"/>
        <v>1194.73</v>
      </c>
      <c r="J1012" s="9">
        <f t="shared" si="188"/>
        <v>19194.71</v>
      </c>
      <c r="K1012" s="9">
        <f t="shared" si="188"/>
        <v>1558.44</v>
      </c>
      <c r="L1012" s="9">
        <f t="shared" si="188"/>
        <v>1194.72</v>
      </c>
      <c r="M1012" s="9">
        <f t="shared" si="188"/>
        <v>13194.73</v>
      </c>
      <c r="N1012" s="9">
        <f t="shared" si="188"/>
        <v>77073.66</v>
      </c>
    </row>
    <row r="1013" spans="1:14" ht="4.95" customHeight="1" x14ac:dyDescent="0.2"/>
    <row r="1014" spans="1:14" x14ac:dyDescent="0.2">
      <c r="A1014" s="16" t="s">
        <v>624</v>
      </c>
      <c r="B1014" s="9">
        <f t="shared" ref="B1014:N1014" si="189">B1012</f>
        <v>985.8</v>
      </c>
      <c r="C1014" s="9">
        <f t="shared" si="189"/>
        <v>1961.8799999999999</v>
      </c>
      <c r="D1014" s="9">
        <f t="shared" si="189"/>
        <v>16094.12</v>
      </c>
      <c r="E1014" s="9">
        <f t="shared" si="189"/>
        <v>1482.1399999999999</v>
      </c>
      <c r="F1014" s="9">
        <f t="shared" si="189"/>
        <v>1194.73</v>
      </c>
      <c r="G1014" s="9">
        <f t="shared" si="189"/>
        <v>17491.260000000002</v>
      </c>
      <c r="H1014" s="9">
        <f t="shared" si="189"/>
        <v>1526.4</v>
      </c>
      <c r="I1014" s="9">
        <f t="shared" si="189"/>
        <v>1194.73</v>
      </c>
      <c r="J1014" s="9">
        <f t="shared" si="189"/>
        <v>19194.71</v>
      </c>
      <c r="K1014" s="9">
        <f t="shared" si="189"/>
        <v>1558.44</v>
      </c>
      <c r="L1014" s="9">
        <f t="shared" si="189"/>
        <v>1194.72</v>
      </c>
      <c r="M1014" s="9">
        <f t="shared" si="189"/>
        <v>13194.73</v>
      </c>
      <c r="N1014" s="9">
        <f t="shared" si="189"/>
        <v>77073.66</v>
      </c>
    </row>
    <row r="1015" spans="1:14" ht="4.95" customHeight="1" x14ac:dyDescent="0.2"/>
    <row r="1016" spans="1:14" x14ac:dyDescent="0.2">
      <c r="A1016" s="16" t="s">
        <v>43</v>
      </c>
    </row>
    <row r="1018" spans="1:14" x14ac:dyDescent="0.2">
      <c r="A1018" s="16" t="s">
        <v>625</v>
      </c>
    </row>
    <row r="1019" spans="1:14" x14ac:dyDescent="0.2">
      <c r="A1019" s="17" t="s">
        <v>626</v>
      </c>
      <c r="B1019" s="10">
        <v>13</v>
      </c>
      <c r="C1019" s="10">
        <v>16</v>
      </c>
      <c r="D1019" s="10">
        <v>250</v>
      </c>
      <c r="E1019" s="10">
        <v>18</v>
      </c>
      <c r="F1019" s="10">
        <v>5</v>
      </c>
      <c r="G1019" s="10">
        <v>16</v>
      </c>
      <c r="H1019" s="10">
        <v>27</v>
      </c>
      <c r="I1019" s="10">
        <v>30</v>
      </c>
      <c r="J1019" s="10">
        <v>43</v>
      </c>
      <c r="K1019" s="10">
        <v>236</v>
      </c>
      <c r="L1019" s="10">
        <v>1105</v>
      </c>
      <c r="M1019" s="10">
        <v>153</v>
      </c>
      <c r="N1019" s="10">
        <f>B1019+C1019+D1019+E1019+F1019+G1019+H1019+I1019+J1019+K1019+L1019+M1019</f>
        <v>1912</v>
      </c>
    </row>
    <row r="1020" spans="1:14" x14ac:dyDescent="0.2">
      <c r="A1020" s="17" t="s">
        <v>627</v>
      </c>
      <c r="B1020" s="10">
        <v>30633.86</v>
      </c>
      <c r="C1020" s="10">
        <v>37613.29</v>
      </c>
      <c r="D1020" s="10">
        <v>56187.77</v>
      </c>
      <c r="E1020" s="10">
        <v>55649.89</v>
      </c>
      <c r="F1020" s="10">
        <v>37777.050000000003</v>
      </c>
      <c r="G1020" s="10">
        <v>36773.35</v>
      </c>
      <c r="H1020" s="10">
        <v>32847.769999999997</v>
      </c>
      <c r="I1020" s="10">
        <v>30905.47</v>
      </c>
      <c r="J1020" s="10">
        <v>44121.07</v>
      </c>
      <c r="K1020" s="10">
        <v>45596.03</v>
      </c>
      <c r="L1020" s="10">
        <v>36652.18</v>
      </c>
      <c r="M1020" s="10">
        <v>32799.949999999997</v>
      </c>
      <c r="N1020" s="10">
        <f>B1020+C1020+D1020+E1020+F1020+G1020+H1020+I1020+J1020+K1020+L1020+M1020</f>
        <v>477557.67999999993</v>
      </c>
    </row>
    <row r="1021" spans="1:14" ht="4.95" customHeight="1" x14ac:dyDescent="0.2"/>
    <row r="1022" spans="1:14" ht="4.95" customHeight="1" x14ac:dyDescent="0.2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</row>
    <row r="1023" spans="1:14" ht="4.95" customHeight="1" x14ac:dyDescent="0.2"/>
    <row r="1024" spans="1:14" x14ac:dyDescent="0.2">
      <c r="A1024" s="16" t="s">
        <v>628</v>
      </c>
      <c r="B1024" s="9">
        <f t="shared" ref="B1024:N1024" si="190">SUM(B1019:B1020)</f>
        <v>30646.86</v>
      </c>
      <c r="C1024" s="9">
        <f t="shared" si="190"/>
        <v>37629.29</v>
      </c>
      <c r="D1024" s="9">
        <f t="shared" si="190"/>
        <v>56437.77</v>
      </c>
      <c r="E1024" s="9">
        <f t="shared" si="190"/>
        <v>55667.89</v>
      </c>
      <c r="F1024" s="9">
        <f t="shared" si="190"/>
        <v>37782.050000000003</v>
      </c>
      <c r="G1024" s="9">
        <f t="shared" si="190"/>
        <v>36789.35</v>
      </c>
      <c r="H1024" s="9">
        <f t="shared" si="190"/>
        <v>32874.769999999997</v>
      </c>
      <c r="I1024" s="9">
        <f t="shared" si="190"/>
        <v>30935.47</v>
      </c>
      <c r="J1024" s="9">
        <f t="shared" si="190"/>
        <v>44164.07</v>
      </c>
      <c r="K1024" s="9">
        <f t="shared" si="190"/>
        <v>45832.03</v>
      </c>
      <c r="L1024" s="9">
        <f t="shared" si="190"/>
        <v>37757.18</v>
      </c>
      <c r="M1024" s="9">
        <f t="shared" si="190"/>
        <v>32952.949999999997</v>
      </c>
      <c r="N1024" s="9">
        <f t="shared" si="190"/>
        <v>479469.67999999993</v>
      </c>
    </row>
    <row r="1025" spans="1:14" ht="4.95" customHeight="1" x14ac:dyDescent="0.2"/>
    <row r="1026" spans="1:14" x14ac:dyDescent="0.2">
      <c r="A1026" s="16" t="s">
        <v>629</v>
      </c>
      <c r="B1026" s="9">
        <f t="shared" ref="B1026:N1026" si="191">B1024</f>
        <v>30646.86</v>
      </c>
      <c r="C1026" s="9">
        <f t="shared" si="191"/>
        <v>37629.29</v>
      </c>
      <c r="D1026" s="9">
        <f t="shared" si="191"/>
        <v>56437.77</v>
      </c>
      <c r="E1026" s="9">
        <f t="shared" si="191"/>
        <v>55667.89</v>
      </c>
      <c r="F1026" s="9">
        <f t="shared" si="191"/>
        <v>37782.050000000003</v>
      </c>
      <c r="G1026" s="9">
        <f t="shared" si="191"/>
        <v>36789.35</v>
      </c>
      <c r="H1026" s="9">
        <f t="shared" si="191"/>
        <v>32874.769999999997</v>
      </c>
      <c r="I1026" s="9">
        <f t="shared" si="191"/>
        <v>30935.47</v>
      </c>
      <c r="J1026" s="9">
        <f t="shared" si="191"/>
        <v>44164.07</v>
      </c>
      <c r="K1026" s="9">
        <f t="shared" si="191"/>
        <v>45832.03</v>
      </c>
      <c r="L1026" s="9">
        <f t="shared" si="191"/>
        <v>37757.18</v>
      </c>
      <c r="M1026" s="9">
        <f t="shared" si="191"/>
        <v>32952.949999999997</v>
      </c>
      <c r="N1026" s="9">
        <f t="shared" si="191"/>
        <v>479469.67999999993</v>
      </c>
    </row>
    <row r="1027" spans="1:14" ht="4.95" customHeight="1" x14ac:dyDescent="0.2"/>
    <row r="1028" spans="1:14" x14ac:dyDescent="0.2">
      <c r="A1028" s="16" t="s">
        <v>48</v>
      </c>
    </row>
    <row r="1030" spans="1:14" x14ac:dyDescent="0.2">
      <c r="A1030" s="16" t="s">
        <v>630</v>
      </c>
    </row>
    <row r="1031" spans="1:14" x14ac:dyDescent="0.2">
      <c r="A1031" s="17" t="s">
        <v>631</v>
      </c>
      <c r="B1031" s="10">
        <v>45795.86</v>
      </c>
      <c r="C1031" s="10">
        <v>45795.86</v>
      </c>
      <c r="D1031" s="10">
        <v>45795.86</v>
      </c>
      <c r="E1031" s="10">
        <v>45795.86</v>
      </c>
      <c r="F1031" s="10">
        <v>45795.86</v>
      </c>
      <c r="G1031" s="10">
        <v>45795.86</v>
      </c>
      <c r="H1031" s="10">
        <v>45795.86</v>
      </c>
      <c r="I1031" s="10">
        <v>45795.86</v>
      </c>
      <c r="J1031" s="10">
        <v>45795.86</v>
      </c>
      <c r="K1031" s="10">
        <v>39908.81</v>
      </c>
      <c r="L1031" s="10">
        <v>39908.81</v>
      </c>
      <c r="M1031" s="10">
        <v>40299.68</v>
      </c>
      <c r="N1031" s="10">
        <f>B1031+C1031+D1031+E1031+F1031+G1031+H1031+I1031+J1031+K1031+L1031+M1031</f>
        <v>532280.03999999992</v>
      </c>
    </row>
    <row r="1032" spans="1:14" x14ac:dyDescent="0.2">
      <c r="A1032" s="17" t="s">
        <v>632</v>
      </c>
      <c r="B1032" s="10">
        <v>0</v>
      </c>
      <c r="C1032" s="10">
        <v>358.7</v>
      </c>
      <c r="D1032" s="10">
        <v>-358.7</v>
      </c>
      <c r="E1032" s="10">
        <v>0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f>B1032+C1032+D1032+E1032+F1032+G1032+H1032+I1032+J1032+K1032+L1032+M1032</f>
        <v>0</v>
      </c>
    </row>
    <row r="1033" spans="1:14" x14ac:dyDescent="0.2">
      <c r="A1033" s="17" t="s">
        <v>633</v>
      </c>
      <c r="B1033" s="10">
        <v>1250</v>
      </c>
      <c r="C1033" s="10">
        <v>1250</v>
      </c>
      <c r="D1033" s="10">
        <v>1250</v>
      </c>
      <c r="E1033" s="10">
        <v>3143.39</v>
      </c>
      <c r="F1033" s="10">
        <v>1723.35</v>
      </c>
      <c r="G1033" s="10">
        <v>1723.35</v>
      </c>
      <c r="H1033" s="10">
        <v>1723.35</v>
      </c>
      <c r="I1033" s="10">
        <v>1723.35</v>
      </c>
      <c r="J1033" s="10">
        <v>1723.35</v>
      </c>
      <c r="K1033" s="10">
        <v>1723.35</v>
      </c>
      <c r="L1033" s="10">
        <v>1723.35</v>
      </c>
      <c r="M1033" s="10">
        <v>1723.4</v>
      </c>
      <c r="N1033" s="10">
        <f>B1033+C1033+D1033+E1033+F1033+G1033+H1033+I1033+J1033+K1033+L1033+M1033</f>
        <v>20680.240000000002</v>
      </c>
    </row>
    <row r="1034" spans="1:14" ht="4.95" customHeight="1" x14ac:dyDescent="0.2"/>
    <row r="1035" spans="1:14" ht="4.95" customHeight="1" x14ac:dyDescent="0.2">
      <c r="A1035" s="11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</row>
    <row r="1036" spans="1:14" ht="4.95" customHeight="1" x14ac:dyDescent="0.2"/>
    <row r="1037" spans="1:14" x14ac:dyDescent="0.2">
      <c r="A1037" s="16" t="s">
        <v>634</v>
      </c>
      <c r="B1037" s="9">
        <f t="shared" ref="B1037:N1037" si="192">SUM(B1031:B1033)</f>
        <v>47045.86</v>
      </c>
      <c r="C1037" s="9">
        <f t="shared" si="192"/>
        <v>47404.56</v>
      </c>
      <c r="D1037" s="9">
        <f t="shared" si="192"/>
        <v>46687.16</v>
      </c>
      <c r="E1037" s="9">
        <f t="shared" si="192"/>
        <v>48939.25</v>
      </c>
      <c r="F1037" s="9">
        <f t="shared" si="192"/>
        <v>47519.21</v>
      </c>
      <c r="G1037" s="9">
        <f t="shared" si="192"/>
        <v>47519.21</v>
      </c>
      <c r="H1037" s="9">
        <f t="shared" si="192"/>
        <v>47519.21</v>
      </c>
      <c r="I1037" s="9">
        <f t="shared" si="192"/>
        <v>47519.21</v>
      </c>
      <c r="J1037" s="9">
        <f t="shared" si="192"/>
        <v>47519.21</v>
      </c>
      <c r="K1037" s="9">
        <f t="shared" si="192"/>
        <v>41632.159999999996</v>
      </c>
      <c r="L1037" s="9">
        <f t="shared" si="192"/>
        <v>41632.159999999996</v>
      </c>
      <c r="M1037" s="9">
        <f t="shared" si="192"/>
        <v>42023.08</v>
      </c>
      <c r="N1037" s="9">
        <f t="shared" si="192"/>
        <v>552960.27999999991</v>
      </c>
    </row>
    <row r="1038" spans="1:14" ht="4.95" customHeight="1" x14ac:dyDescent="0.2"/>
    <row r="1039" spans="1:14" x14ac:dyDescent="0.2">
      <c r="A1039" s="16" t="s">
        <v>635</v>
      </c>
      <c r="B1039" s="9">
        <f t="shared" ref="B1039:N1039" si="193">B1037</f>
        <v>47045.86</v>
      </c>
      <c r="C1039" s="9">
        <f t="shared" si="193"/>
        <v>47404.56</v>
      </c>
      <c r="D1039" s="9">
        <f t="shared" si="193"/>
        <v>46687.16</v>
      </c>
      <c r="E1039" s="9">
        <f t="shared" si="193"/>
        <v>48939.25</v>
      </c>
      <c r="F1039" s="9">
        <f t="shared" si="193"/>
        <v>47519.21</v>
      </c>
      <c r="G1039" s="9">
        <f t="shared" si="193"/>
        <v>47519.21</v>
      </c>
      <c r="H1039" s="9">
        <f t="shared" si="193"/>
        <v>47519.21</v>
      </c>
      <c r="I1039" s="9">
        <f t="shared" si="193"/>
        <v>47519.21</v>
      </c>
      <c r="J1039" s="9">
        <f t="shared" si="193"/>
        <v>47519.21</v>
      </c>
      <c r="K1039" s="9">
        <f t="shared" si="193"/>
        <v>41632.159999999996</v>
      </c>
      <c r="L1039" s="9">
        <f t="shared" si="193"/>
        <v>41632.159999999996</v>
      </c>
      <c r="M1039" s="9">
        <f t="shared" si="193"/>
        <v>42023.08</v>
      </c>
      <c r="N1039" s="9">
        <f t="shared" si="193"/>
        <v>552960.27999999991</v>
      </c>
    </row>
    <row r="1040" spans="1:14" ht="4.95" customHeight="1" x14ac:dyDescent="0.2"/>
    <row r="1041" spans="1:14" x14ac:dyDescent="0.2">
      <c r="A1041" s="16" t="s">
        <v>49</v>
      </c>
    </row>
    <row r="1043" spans="1:14" x14ac:dyDescent="0.2">
      <c r="A1043" s="16" t="s">
        <v>636</v>
      </c>
    </row>
    <row r="1044" spans="1:14" x14ac:dyDescent="0.2">
      <c r="A1044" s="17" t="s">
        <v>637</v>
      </c>
      <c r="B1044" s="10">
        <v>23224.78</v>
      </c>
      <c r="C1044" s="10">
        <v>23224.78</v>
      </c>
      <c r="D1044" s="10">
        <v>23224.78</v>
      </c>
      <c r="E1044" s="10">
        <v>23224.78</v>
      </c>
      <c r="F1044" s="10">
        <v>23224.78</v>
      </c>
      <c r="G1044" s="10">
        <v>23224.78</v>
      </c>
      <c r="H1044" s="10">
        <v>26853.58</v>
      </c>
      <c r="I1044" s="10">
        <v>15917.83</v>
      </c>
      <c r="J1044" s="10">
        <v>15917.83</v>
      </c>
      <c r="K1044" s="10">
        <v>16103.08</v>
      </c>
      <c r="L1044" s="10">
        <v>16103.08</v>
      </c>
      <c r="M1044" s="10">
        <v>8577.23</v>
      </c>
      <c r="N1044" s="10">
        <f>B1044+C1044+D1044+E1044+F1044+G1044+H1044+I1044+J1044+K1044+L1044+M1044</f>
        <v>238821.30999999997</v>
      </c>
    </row>
    <row r="1045" spans="1:14" x14ac:dyDescent="0.2">
      <c r="A1045" s="17" t="s">
        <v>638</v>
      </c>
      <c r="B1045" s="10">
        <v>412.42</v>
      </c>
      <c r="C1045" s="10">
        <v>412.38</v>
      </c>
      <c r="D1045" s="10">
        <v>396.75</v>
      </c>
      <c r="E1045" s="10">
        <v>396.75</v>
      </c>
      <c r="F1045" s="10">
        <v>428.09</v>
      </c>
      <c r="G1045" s="10">
        <v>412.42</v>
      </c>
      <c r="H1045" s="10">
        <v>412.36</v>
      </c>
      <c r="I1045" s="10">
        <v>15.67</v>
      </c>
      <c r="J1045" s="10">
        <v>-78.349999999999994</v>
      </c>
      <c r="K1045" s="10">
        <v>8.33</v>
      </c>
      <c r="L1045" s="10">
        <v>8.33</v>
      </c>
      <c r="M1045" s="10">
        <v>8.33</v>
      </c>
      <c r="N1045" s="10">
        <f>B1045+C1045+D1045+E1045+F1045+G1045+H1045+I1045+J1045+K1045+L1045+M1045</f>
        <v>2833.48</v>
      </c>
    </row>
    <row r="1046" spans="1:14" x14ac:dyDescent="0.2">
      <c r="A1046" s="17" t="s">
        <v>639</v>
      </c>
      <c r="B1046" s="10">
        <v>2249.98</v>
      </c>
      <c r="C1046" s="10">
        <v>2249.98</v>
      </c>
      <c r="D1046" s="10">
        <v>2249.98</v>
      </c>
      <c r="E1046" s="10">
        <v>2249.98</v>
      </c>
      <c r="F1046" s="10">
        <v>3792.65</v>
      </c>
      <c r="G1046" s="10">
        <v>2566.83</v>
      </c>
      <c r="H1046" s="10">
        <v>2249.9299999999998</v>
      </c>
      <c r="I1046" s="10">
        <v>2895.5</v>
      </c>
      <c r="J1046" s="10">
        <v>2895.5</v>
      </c>
      <c r="K1046" s="10">
        <v>2895.5</v>
      </c>
      <c r="L1046" s="10">
        <v>2895.5</v>
      </c>
      <c r="M1046" s="10">
        <v>2895.5</v>
      </c>
      <c r="N1046" s="10">
        <f>B1046+C1046+D1046+E1046+F1046+G1046+H1046+I1046+J1046+K1046+L1046+M1046</f>
        <v>32086.829999999998</v>
      </c>
    </row>
    <row r="1047" spans="1:14" x14ac:dyDescent="0.2">
      <c r="A1047" s="17" t="s">
        <v>640</v>
      </c>
      <c r="B1047" s="10">
        <v>738.47</v>
      </c>
      <c r="C1047" s="10">
        <v>738.47</v>
      </c>
      <c r="D1047" s="10">
        <v>738.47</v>
      </c>
      <c r="E1047" s="10">
        <v>738.47</v>
      </c>
      <c r="F1047" s="10">
        <v>738.47</v>
      </c>
      <c r="G1047" s="10">
        <v>738.47</v>
      </c>
      <c r="H1047" s="10">
        <v>738.47</v>
      </c>
      <c r="I1047" s="10">
        <v>1544.46</v>
      </c>
      <c r="J1047" s="10">
        <v>1544.46</v>
      </c>
      <c r="K1047" s="10">
        <v>1544.46</v>
      </c>
      <c r="L1047" s="10">
        <v>1544.46</v>
      </c>
      <c r="M1047" s="10">
        <v>1544.46</v>
      </c>
      <c r="N1047" s="10">
        <f>B1047+C1047+D1047+E1047+F1047+G1047+H1047+I1047+J1047+K1047+L1047+M1047</f>
        <v>12891.59</v>
      </c>
    </row>
    <row r="1048" spans="1:14" x14ac:dyDescent="0.2">
      <c r="A1048" s="17" t="s">
        <v>641</v>
      </c>
      <c r="B1048" s="10">
        <v>0</v>
      </c>
      <c r="C1048" s="10">
        <v>763.81</v>
      </c>
      <c r="D1048" s="10">
        <v>0</v>
      </c>
      <c r="E1048" s="10">
        <v>2306.14</v>
      </c>
      <c r="F1048" s="10">
        <v>2222</v>
      </c>
      <c r="G1048" s="10">
        <v>0</v>
      </c>
      <c r="H1048" s="10">
        <v>2092.39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f>B1048+C1048+D1048+E1048+F1048+G1048+H1048+I1048+J1048+K1048+L1048+M1048</f>
        <v>7384.34</v>
      </c>
    </row>
    <row r="1049" spans="1:14" ht="4.95" customHeight="1" x14ac:dyDescent="0.2"/>
    <row r="1050" spans="1:14" ht="4.95" customHeight="1" x14ac:dyDescent="0.2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</row>
    <row r="1051" spans="1:14" ht="4.95" customHeight="1" x14ac:dyDescent="0.2"/>
    <row r="1052" spans="1:14" x14ac:dyDescent="0.2">
      <c r="A1052" s="16" t="s">
        <v>642</v>
      </c>
      <c r="B1052" s="9">
        <f t="shared" ref="B1052:N1052" si="194">SUM(B1044:B1048)</f>
        <v>26625.649999999998</v>
      </c>
      <c r="C1052" s="9">
        <f t="shared" si="194"/>
        <v>27389.420000000002</v>
      </c>
      <c r="D1052" s="9">
        <f t="shared" si="194"/>
        <v>26609.98</v>
      </c>
      <c r="E1052" s="9">
        <f t="shared" si="194"/>
        <v>28916.12</v>
      </c>
      <c r="F1052" s="9">
        <f t="shared" si="194"/>
        <v>30405.99</v>
      </c>
      <c r="G1052" s="9">
        <f t="shared" si="194"/>
        <v>26942.5</v>
      </c>
      <c r="H1052" s="9">
        <f t="shared" si="194"/>
        <v>32346.730000000003</v>
      </c>
      <c r="I1052" s="9">
        <f t="shared" si="194"/>
        <v>20373.46</v>
      </c>
      <c r="J1052" s="9">
        <f t="shared" si="194"/>
        <v>20279.439999999999</v>
      </c>
      <c r="K1052" s="9">
        <f t="shared" si="194"/>
        <v>20551.37</v>
      </c>
      <c r="L1052" s="9">
        <f t="shared" si="194"/>
        <v>20551.37</v>
      </c>
      <c r="M1052" s="9">
        <f t="shared" si="194"/>
        <v>13025.52</v>
      </c>
      <c r="N1052" s="9">
        <f t="shared" si="194"/>
        <v>294017.55000000005</v>
      </c>
    </row>
    <row r="1053" spans="1:14" ht="4.95" customHeight="1" x14ac:dyDescent="0.2"/>
    <row r="1054" spans="1:14" x14ac:dyDescent="0.2">
      <c r="A1054" s="16" t="s">
        <v>643</v>
      </c>
      <c r="B1054" s="9">
        <f t="shared" ref="B1054:N1054" si="195">B1052</f>
        <v>26625.649999999998</v>
      </c>
      <c r="C1054" s="9">
        <f t="shared" si="195"/>
        <v>27389.420000000002</v>
      </c>
      <c r="D1054" s="9">
        <f t="shared" si="195"/>
        <v>26609.98</v>
      </c>
      <c r="E1054" s="9">
        <f t="shared" si="195"/>
        <v>28916.12</v>
      </c>
      <c r="F1054" s="9">
        <f t="shared" si="195"/>
        <v>30405.99</v>
      </c>
      <c r="G1054" s="9">
        <f t="shared" si="195"/>
        <v>26942.5</v>
      </c>
      <c r="H1054" s="9">
        <f t="shared" si="195"/>
        <v>32346.730000000003</v>
      </c>
      <c r="I1054" s="9">
        <f t="shared" si="195"/>
        <v>20373.46</v>
      </c>
      <c r="J1054" s="9">
        <f t="shared" si="195"/>
        <v>20279.439999999999</v>
      </c>
      <c r="K1054" s="9">
        <f t="shared" si="195"/>
        <v>20551.37</v>
      </c>
      <c r="L1054" s="9">
        <f t="shared" si="195"/>
        <v>20551.37</v>
      </c>
      <c r="M1054" s="9">
        <f t="shared" si="195"/>
        <v>13025.52</v>
      </c>
      <c r="N1054" s="9">
        <f t="shared" si="195"/>
        <v>294017.55000000005</v>
      </c>
    </row>
    <row r="1055" spans="1:14" ht="4.95" customHeight="1" x14ac:dyDescent="0.2"/>
    <row r="1056" spans="1:14" x14ac:dyDescent="0.2">
      <c r="A1056" s="16" t="s">
        <v>50</v>
      </c>
    </row>
    <row r="1058" spans="1:14" x14ac:dyDescent="0.2">
      <c r="A1058" s="16" t="s">
        <v>644</v>
      </c>
    </row>
    <row r="1059" spans="1:14" x14ac:dyDescent="0.2">
      <c r="A1059" s="17" t="s">
        <v>645</v>
      </c>
      <c r="B1059" s="10">
        <v>0</v>
      </c>
      <c r="C1059" s="10">
        <v>0</v>
      </c>
      <c r="D1059" s="10">
        <v>4216</v>
      </c>
      <c r="E1059" s="10">
        <v>0</v>
      </c>
      <c r="F1059" s="10">
        <v>5680.27</v>
      </c>
      <c r="G1059" s="10">
        <v>5000</v>
      </c>
      <c r="H1059" s="10">
        <v>0</v>
      </c>
      <c r="I1059" s="10">
        <v>0</v>
      </c>
      <c r="J1059" s="10">
        <v>9018.67</v>
      </c>
      <c r="K1059" s="10">
        <v>0</v>
      </c>
      <c r="L1059" s="10">
        <v>-27815.93</v>
      </c>
      <c r="M1059" s="10">
        <v>0</v>
      </c>
      <c r="N1059" s="10">
        <f>B1059+C1059+D1059+E1059+F1059+G1059+H1059+I1059+J1059+K1059+L1059+M1059</f>
        <v>-3900.989999999998</v>
      </c>
    </row>
    <row r="1060" spans="1:14" ht="4.95" customHeight="1" x14ac:dyDescent="0.2"/>
    <row r="1061" spans="1:14" ht="4.95" customHeight="1" x14ac:dyDescent="0.2">
      <c r="A1061" s="11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</row>
    <row r="1062" spans="1:14" ht="4.95" customHeight="1" x14ac:dyDescent="0.2"/>
    <row r="1063" spans="1:14" x14ac:dyDescent="0.2">
      <c r="A1063" s="16" t="s">
        <v>646</v>
      </c>
      <c r="B1063" s="9">
        <f t="shared" ref="B1063:N1063" si="196">B1059</f>
        <v>0</v>
      </c>
      <c r="C1063" s="9">
        <f t="shared" si="196"/>
        <v>0</v>
      </c>
      <c r="D1063" s="9">
        <f t="shared" si="196"/>
        <v>4216</v>
      </c>
      <c r="E1063" s="9">
        <f t="shared" si="196"/>
        <v>0</v>
      </c>
      <c r="F1063" s="9">
        <f t="shared" si="196"/>
        <v>5680.27</v>
      </c>
      <c r="G1063" s="9">
        <f t="shared" si="196"/>
        <v>5000</v>
      </c>
      <c r="H1063" s="9">
        <f t="shared" si="196"/>
        <v>0</v>
      </c>
      <c r="I1063" s="9">
        <f t="shared" si="196"/>
        <v>0</v>
      </c>
      <c r="J1063" s="9">
        <f t="shared" si="196"/>
        <v>9018.67</v>
      </c>
      <c r="K1063" s="9">
        <f t="shared" si="196"/>
        <v>0</v>
      </c>
      <c r="L1063" s="9">
        <f t="shared" si="196"/>
        <v>-27815.93</v>
      </c>
      <c r="M1063" s="9">
        <f t="shared" si="196"/>
        <v>0</v>
      </c>
      <c r="N1063" s="9">
        <f t="shared" si="196"/>
        <v>-3900.989999999998</v>
      </c>
    </row>
    <row r="1064" spans="1:14" ht="4.95" customHeight="1" x14ac:dyDescent="0.2"/>
    <row r="1065" spans="1:14" x14ac:dyDescent="0.2">
      <c r="A1065" s="16" t="s">
        <v>647</v>
      </c>
      <c r="B1065" s="9">
        <f t="shared" ref="B1065:N1065" si="197">B1063</f>
        <v>0</v>
      </c>
      <c r="C1065" s="9">
        <f t="shared" si="197"/>
        <v>0</v>
      </c>
      <c r="D1065" s="9">
        <f t="shared" si="197"/>
        <v>4216</v>
      </c>
      <c r="E1065" s="9">
        <f t="shared" si="197"/>
        <v>0</v>
      </c>
      <c r="F1065" s="9">
        <f t="shared" si="197"/>
        <v>5680.27</v>
      </c>
      <c r="G1065" s="9">
        <f t="shared" si="197"/>
        <v>5000</v>
      </c>
      <c r="H1065" s="9">
        <f t="shared" si="197"/>
        <v>0</v>
      </c>
      <c r="I1065" s="9">
        <f t="shared" si="197"/>
        <v>0</v>
      </c>
      <c r="J1065" s="9">
        <f t="shared" si="197"/>
        <v>9018.67</v>
      </c>
      <c r="K1065" s="9">
        <f t="shared" si="197"/>
        <v>0</v>
      </c>
      <c r="L1065" s="9">
        <f t="shared" si="197"/>
        <v>-27815.93</v>
      </c>
      <c r="M1065" s="9">
        <f t="shared" si="197"/>
        <v>0</v>
      </c>
      <c r="N1065" s="9">
        <f t="shared" si="197"/>
        <v>-3900.989999999998</v>
      </c>
    </row>
    <row r="1066" spans="1:14" ht="4.95" customHeight="1" x14ac:dyDescent="0.2"/>
    <row r="1067" spans="1:14" x14ac:dyDescent="0.2">
      <c r="A1067" s="16" t="s">
        <v>52</v>
      </c>
    </row>
    <row r="1069" spans="1:14" x14ac:dyDescent="0.2">
      <c r="A1069" s="16" t="s">
        <v>648</v>
      </c>
    </row>
    <row r="1070" spans="1:14" x14ac:dyDescent="0.2">
      <c r="A1070" s="17" t="s">
        <v>649</v>
      </c>
      <c r="B1070" s="10">
        <v>651.02</v>
      </c>
      <c r="C1070" s="10">
        <v>1946.17</v>
      </c>
      <c r="D1070" s="10">
        <v>1720.88</v>
      </c>
      <c r="E1070" s="10">
        <v>3263.53</v>
      </c>
      <c r="F1070" s="10">
        <v>3981.26</v>
      </c>
      <c r="G1070" s="10">
        <v>4548.05</v>
      </c>
      <c r="H1070" s="10">
        <v>2926.07</v>
      </c>
      <c r="I1070" s="10">
        <v>1594.56</v>
      </c>
      <c r="J1070" s="10">
        <v>1309.51</v>
      </c>
      <c r="K1070" s="10">
        <v>6247.74</v>
      </c>
      <c r="L1070" s="10">
        <v>7560.22</v>
      </c>
      <c r="M1070" s="10">
        <v>8434.19</v>
      </c>
      <c r="N1070" s="10">
        <f>B1070+C1070+D1070+E1070+F1070+G1070+H1070+I1070+J1070+K1070+L1070+M1070</f>
        <v>44183.200000000004</v>
      </c>
    </row>
    <row r="1071" spans="1:14" x14ac:dyDescent="0.2">
      <c r="A1071" s="17" t="s">
        <v>650</v>
      </c>
      <c r="B1071" s="10">
        <v>50</v>
      </c>
      <c r="C1071" s="10">
        <v>0</v>
      </c>
      <c r="D1071" s="10">
        <v>0</v>
      </c>
      <c r="E1071" s="10">
        <v>120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21.28</v>
      </c>
      <c r="L1071" s="10">
        <v>0</v>
      </c>
      <c r="M1071" s="10">
        <v>0</v>
      </c>
      <c r="N1071" s="10">
        <f>B1071+C1071+D1071+E1071+F1071+G1071+H1071+I1071+J1071+K1071+L1071+M1071</f>
        <v>191.28</v>
      </c>
    </row>
    <row r="1072" spans="1:14" x14ac:dyDescent="0.2">
      <c r="A1072" s="17" t="s">
        <v>651</v>
      </c>
      <c r="B1072" s="10">
        <v>0</v>
      </c>
      <c r="C1072" s="10">
        <v>0</v>
      </c>
      <c r="D1072" s="10">
        <v>0</v>
      </c>
      <c r="E1072" s="10">
        <v>0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439756.67</v>
      </c>
      <c r="N1072" s="10">
        <f>B1072+C1072+D1072+E1072+F1072+G1072+H1072+I1072+J1072+K1072+L1072+M1072</f>
        <v>439756.67</v>
      </c>
    </row>
    <row r="1073" spans="1:14" x14ac:dyDescent="0.2">
      <c r="A1073" s="17" t="s">
        <v>652</v>
      </c>
      <c r="B1073" s="10">
        <v>0</v>
      </c>
      <c r="C1073" s="10">
        <v>0</v>
      </c>
      <c r="D1073" s="10">
        <v>0</v>
      </c>
      <c r="E1073" s="10">
        <v>6498.57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f>B1073+C1073+D1073+E1073+F1073+G1073+H1073+I1073+J1073+K1073+L1073+M1073</f>
        <v>6498.57</v>
      </c>
    </row>
    <row r="1074" spans="1:14" ht="4.95" customHeight="1" x14ac:dyDescent="0.2"/>
    <row r="1075" spans="1:14" ht="4.95" customHeight="1" x14ac:dyDescent="0.2">
      <c r="A1075" s="11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</row>
    <row r="1076" spans="1:14" ht="4.95" customHeight="1" x14ac:dyDescent="0.2"/>
    <row r="1077" spans="1:14" x14ac:dyDescent="0.2">
      <c r="A1077" s="16" t="s">
        <v>653</v>
      </c>
      <c r="B1077" s="9">
        <f t="shared" ref="B1077:N1077" si="198">SUM(B1070:B1073)</f>
        <v>701.02</v>
      </c>
      <c r="C1077" s="9">
        <f t="shared" si="198"/>
        <v>1946.17</v>
      </c>
      <c r="D1077" s="9">
        <f t="shared" si="198"/>
        <v>1720.88</v>
      </c>
      <c r="E1077" s="9">
        <f t="shared" si="198"/>
        <v>9882.1</v>
      </c>
      <c r="F1077" s="9">
        <f t="shared" si="198"/>
        <v>3981.26</v>
      </c>
      <c r="G1077" s="9">
        <f t="shared" si="198"/>
        <v>4548.05</v>
      </c>
      <c r="H1077" s="9">
        <f t="shared" si="198"/>
        <v>2926.07</v>
      </c>
      <c r="I1077" s="9">
        <f t="shared" si="198"/>
        <v>1594.56</v>
      </c>
      <c r="J1077" s="9">
        <f t="shared" si="198"/>
        <v>1309.51</v>
      </c>
      <c r="K1077" s="9">
        <f t="shared" si="198"/>
        <v>6269.0199999999995</v>
      </c>
      <c r="L1077" s="9">
        <f t="shared" si="198"/>
        <v>7560.22</v>
      </c>
      <c r="M1077" s="9">
        <f t="shared" si="198"/>
        <v>448190.86</v>
      </c>
      <c r="N1077" s="9">
        <f t="shared" si="198"/>
        <v>490629.72</v>
      </c>
    </row>
    <row r="1078" spans="1:14" ht="4.95" customHeight="1" x14ac:dyDescent="0.2"/>
    <row r="1079" spans="1:14" ht="4.95" customHeight="1" x14ac:dyDescent="0.2"/>
    <row r="1080" spans="1:14" x14ac:dyDescent="0.2">
      <c r="A1080" s="16" t="s">
        <v>55</v>
      </c>
    </row>
    <row r="1082" spans="1:14" x14ac:dyDescent="0.2">
      <c r="A1082" s="16" t="s">
        <v>654</v>
      </c>
    </row>
    <row r="1083" spans="1:14" x14ac:dyDescent="0.2">
      <c r="A1083" s="17" t="s">
        <v>655</v>
      </c>
      <c r="B1083" s="10">
        <v>154044.81</v>
      </c>
      <c r="C1083" s="10">
        <v>138913.91</v>
      </c>
      <c r="D1083" s="10">
        <v>153484.35</v>
      </c>
      <c r="E1083" s="10">
        <v>148291.59</v>
      </c>
      <c r="F1083" s="10">
        <v>152962.31</v>
      </c>
      <c r="G1083" s="10">
        <v>147784.19</v>
      </c>
      <c r="H1083" s="10">
        <v>152435.79</v>
      </c>
      <c r="I1083" s="10">
        <v>152181.51</v>
      </c>
      <c r="J1083" s="10">
        <v>147025.29</v>
      </c>
      <c r="K1083" s="10">
        <v>151648.28</v>
      </c>
      <c r="L1083" s="10">
        <v>146507.01</v>
      </c>
      <c r="M1083" s="10">
        <v>151110.47</v>
      </c>
      <c r="N1083" s="10">
        <f>B1083+C1083+D1083+E1083+F1083+G1083+H1083+I1083+J1083+K1083+L1083+M1083</f>
        <v>1796389.51</v>
      </c>
    </row>
    <row r="1084" spans="1:14" x14ac:dyDescent="0.2">
      <c r="A1084" s="17" t="s">
        <v>656</v>
      </c>
      <c r="B1084" s="10">
        <v>148.91999999999999</v>
      </c>
      <c r="C1084" s="10">
        <v>145.80000000000001</v>
      </c>
      <c r="D1084" s="10">
        <v>28118.68</v>
      </c>
      <c r="E1084" s="10">
        <v>139.55000000000001</v>
      </c>
      <c r="F1084" s="10">
        <v>132.03</v>
      </c>
      <c r="G1084" s="10">
        <v>133.31</v>
      </c>
      <c r="H1084" s="10">
        <v>125.98</v>
      </c>
      <c r="I1084" s="10">
        <v>127.05</v>
      </c>
      <c r="J1084" s="10">
        <v>123.91</v>
      </c>
      <c r="K1084" s="10">
        <v>116.88</v>
      </c>
      <c r="L1084" s="10">
        <v>117.64</v>
      </c>
      <c r="M1084" s="10">
        <v>114.8</v>
      </c>
      <c r="N1084" s="10">
        <f>B1084+C1084+D1084+E1084+F1084+G1084+H1084+I1084+J1084+K1084+L1084+M1084</f>
        <v>29544.55</v>
      </c>
    </row>
    <row r="1085" spans="1:14" ht="4.95" customHeight="1" x14ac:dyDescent="0.2"/>
    <row r="1086" spans="1:14" ht="4.95" customHeight="1" x14ac:dyDescent="0.2">
      <c r="A1086" s="11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</row>
    <row r="1087" spans="1:14" ht="4.95" customHeight="1" x14ac:dyDescent="0.2"/>
    <row r="1088" spans="1:14" x14ac:dyDescent="0.2">
      <c r="A1088" s="16" t="s">
        <v>657</v>
      </c>
      <c r="B1088" s="9">
        <f t="shared" ref="B1088:N1088" si="199">SUM(B1083:B1084)</f>
        <v>154193.73000000001</v>
      </c>
      <c r="C1088" s="9">
        <f t="shared" si="199"/>
        <v>139059.71</v>
      </c>
      <c r="D1088" s="9">
        <f t="shared" si="199"/>
        <v>181603.03</v>
      </c>
      <c r="E1088" s="9">
        <f t="shared" si="199"/>
        <v>148431.13999999998</v>
      </c>
      <c r="F1088" s="9">
        <f t="shared" si="199"/>
        <v>153094.34</v>
      </c>
      <c r="G1088" s="9">
        <f t="shared" si="199"/>
        <v>147917.5</v>
      </c>
      <c r="H1088" s="9">
        <f t="shared" si="199"/>
        <v>152561.77000000002</v>
      </c>
      <c r="I1088" s="9">
        <f t="shared" si="199"/>
        <v>152308.56</v>
      </c>
      <c r="J1088" s="9">
        <f t="shared" si="199"/>
        <v>147149.20000000001</v>
      </c>
      <c r="K1088" s="9">
        <f t="shared" si="199"/>
        <v>151765.16</v>
      </c>
      <c r="L1088" s="9">
        <f t="shared" si="199"/>
        <v>146624.65000000002</v>
      </c>
      <c r="M1088" s="9">
        <f t="shared" si="199"/>
        <v>151225.26999999999</v>
      </c>
      <c r="N1088" s="9">
        <f t="shared" si="199"/>
        <v>1825934.06</v>
      </c>
    </row>
    <row r="1089" spans="1:14" ht="4.95" customHeight="1" x14ac:dyDescent="0.2"/>
    <row r="1090" spans="1:14" x14ac:dyDescent="0.2">
      <c r="A1090" s="16" t="s">
        <v>658</v>
      </c>
      <c r="B1090" s="9">
        <f t="shared" ref="B1090:N1090" si="200">B1088</f>
        <v>154193.73000000001</v>
      </c>
      <c r="C1090" s="9">
        <f t="shared" si="200"/>
        <v>139059.71</v>
      </c>
      <c r="D1090" s="9">
        <f t="shared" si="200"/>
        <v>181603.03</v>
      </c>
      <c r="E1090" s="9">
        <f t="shared" si="200"/>
        <v>148431.13999999998</v>
      </c>
      <c r="F1090" s="9">
        <f t="shared" si="200"/>
        <v>153094.34</v>
      </c>
      <c r="G1090" s="9">
        <f t="shared" si="200"/>
        <v>147917.5</v>
      </c>
      <c r="H1090" s="9">
        <f t="shared" si="200"/>
        <v>152561.77000000002</v>
      </c>
      <c r="I1090" s="9">
        <f t="shared" si="200"/>
        <v>152308.56</v>
      </c>
      <c r="J1090" s="9">
        <f t="shared" si="200"/>
        <v>147149.20000000001</v>
      </c>
      <c r="K1090" s="9">
        <f t="shared" si="200"/>
        <v>151765.16</v>
      </c>
      <c r="L1090" s="9">
        <f t="shared" si="200"/>
        <v>146624.65000000002</v>
      </c>
      <c r="M1090" s="9">
        <f t="shared" si="200"/>
        <v>151225.26999999999</v>
      </c>
      <c r="N1090" s="9">
        <f t="shared" si="200"/>
        <v>1825934.06</v>
      </c>
    </row>
    <row r="1091" spans="1:14" ht="4.95" customHeight="1" x14ac:dyDescent="0.2"/>
    <row r="1092" spans="1:14" x14ac:dyDescent="0.2">
      <c r="A1092" s="16" t="s">
        <v>57</v>
      </c>
    </row>
    <row r="1094" spans="1:14" x14ac:dyDescent="0.2">
      <c r="A1094" s="16" t="s">
        <v>659</v>
      </c>
    </row>
    <row r="1095" spans="1:14" x14ac:dyDescent="0.2">
      <c r="A1095" s="17" t="s">
        <v>660</v>
      </c>
      <c r="B1095" s="10">
        <v>0</v>
      </c>
      <c r="C1095" s="10">
        <v>0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2038234.03</v>
      </c>
      <c r="N1095" s="10">
        <f>B1095+C1095+D1095+E1095+F1095+G1095+H1095+I1095+J1095+K1095+L1095+M1095</f>
        <v>2038234.03</v>
      </c>
    </row>
    <row r="1096" spans="1:14" x14ac:dyDescent="0.2">
      <c r="A1096" s="17" t="s">
        <v>661</v>
      </c>
      <c r="B1096" s="10">
        <v>0</v>
      </c>
      <c r="C1096" s="10">
        <v>0</v>
      </c>
      <c r="D1096" s="10">
        <v>0</v>
      </c>
      <c r="E1096" s="10">
        <v>0</v>
      </c>
      <c r="F1096" s="10">
        <v>0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24471.17</v>
      </c>
      <c r="N1096" s="10">
        <f>B1096+C1096+D1096+E1096+F1096+G1096+H1096+I1096+J1096+K1096+L1096+M1096</f>
        <v>24471.17</v>
      </c>
    </row>
    <row r="1097" spans="1:14" ht="4.95" customHeight="1" x14ac:dyDescent="0.2"/>
    <row r="1098" spans="1:14" ht="4.95" customHeight="1" x14ac:dyDescent="0.2">
      <c r="A1098" s="11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</row>
    <row r="1099" spans="1:14" ht="4.95" customHeight="1" x14ac:dyDescent="0.2"/>
    <row r="1100" spans="1:14" x14ac:dyDescent="0.2">
      <c r="A1100" s="16" t="s">
        <v>662</v>
      </c>
      <c r="B1100" s="9">
        <f t="shared" ref="B1100:N1100" si="201">SUM(B1095:B1096)</f>
        <v>0</v>
      </c>
      <c r="C1100" s="9">
        <f t="shared" si="201"/>
        <v>0</v>
      </c>
      <c r="D1100" s="9">
        <f t="shared" si="201"/>
        <v>0</v>
      </c>
      <c r="E1100" s="9">
        <f t="shared" si="201"/>
        <v>0</v>
      </c>
      <c r="F1100" s="9">
        <f t="shared" si="201"/>
        <v>0</v>
      </c>
      <c r="G1100" s="9">
        <f t="shared" si="201"/>
        <v>0</v>
      </c>
      <c r="H1100" s="9">
        <f t="shared" si="201"/>
        <v>0</v>
      </c>
      <c r="I1100" s="9">
        <f t="shared" si="201"/>
        <v>0</v>
      </c>
      <c r="J1100" s="9">
        <f t="shared" si="201"/>
        <v>0</v>
      </c>
      <c r="K1100" s="9">
        <f t="shared" si="201"/>
        <v>0</v>
      </c>
      <c r="L1100" s="9">
        <f t="shared" si="201"/>
        <v>0</v>
      </c>
      <c r="M1100" s="9">
        <f t="shared" si="201"/>
        <v>2062705.2</v>
      </c>
      <c r="N1100" s="9">
        <f t="shared" si="201"/>
        <v>2062705.2</v>
      </c>
    </row>
    <row r="1101" spans="1:14" ht="4.95" customHeight="1" x14ac:dyDescent="0.2"/>
    <row r="1102" spans="1:14" x14ac:dyDescent="0.2">
      <c r="A1102" s="16" t="s">
        <v>663</v>
      </c>
      <c r="B1102" s="9">
        <f t="shared" ref="B1102:N1102" si="202">B1100</f>
        <v>0</v>
      </c>
      <c r="C1102" s="9">
        <f t="shared" si="202"/>
        <v>0</v>
      </c>
      <c r="D1102" s="9">
        <f t="shared" si="202"/>
        <v>0</v>
      </c>
      <c r="E1102" s="9">
        <f t="shared" si="202"/>
        <v>0</v>
      </c>
      <c r="F1102" s="9">
        <f t="shared" si="202"/>
        <v>0</v>
      </c>
      <c r="G1102" s="9">
        <f t="shared" si="202"/>
        <v>0</v>
      </c>
      <c r="H1102" s="9">
        <f t="shared" si="202"/>
        <v>0</v>
      </c>
      <c r="I1102" s="9">
        <f t="shared" si="202"/>
        <v>0</v>
      </c>
      <c r="J1102" s="9">
        <f t="shared" si="202"/>
        <v>0</v>
      </c>
      <c r="K1102" s="9">
        <f t="shared" si="202"/>
        <v>0</v>
      </c>
      <c r="L1102" s="9">
        <f t="shared" si="202"/>
        <v>0</v>
      </c>
      <c r="M1102" s="9">
        <f t="shared" si="202"/>
        <v>2062705.2</v>
      </c>
      <c r="N1102" s="9">
        <f t="shared" si="202"/>
        <v>2062705.2</v>
      </c>
    </row>
    <row r="1103" spans="1:14" ht="4.95" customHeight="1" x14ac:dyDescent="0.2"/>
    <row r="1104" spans="1:14" x14ac:dyDescent="0.2">
      <c r="A1104" s="16" t="s">
        <v>58</v>
      </c>
      <c r="B1104" s="9">
        <f t="shared" ref="B1104:N1104" si="203">B1002-(B1014+B1026+B1039+B1054+B1065+B1090+B1102)+(B1077)</f>
        <v>26873.57999999994</v>
      </c>
      <c r="C1104" s="9">
        <f t="shared" si="203"/>
        <v>214472.00000000044</v>
      </c>
      <c r="D1104" s="9">
        <f t="shared" si="203"/>
        <v>541215.18000000028</v>
      </c>
      <c r="E1104" s="9">
        <f t="shared" si="203"/>
        <v>583197.23000000033</v>
      </c>
      <c r="F1104" s="9">
        <f t="shared" si="203"/>
        <v>133787.4599999999</v>
      </c>
      <c r="G1104" s="9">
        <f t="shared" si="203"/>
        <v>43112.420000000289</v>
      </c>
      <c r="H1104" s="9">
        <f t="shared" si="203"/>
        <v>-69363.02999999997</v>
      </c>
      <c r="I1104" s="9">
        <f t="shared" si="203"/>
        <v>-32855.720000000205</v>
      </c>
      <c r="J1104" s="9">
        <f t="shared" si="203"/>
        <v>243577.32000000007</v>
      </c>
      <c r="K1104" s="9">
        <f t="shared" si="203"/>
        <v>285012.9600000002</v>
      </c>
      <c r="L1104" s="9">
        <f t="shared" si="203"/>
        <v>94325.619999999908</v>
      </c>
      <c r="M1104" s="9">
        <f t="shared" si="203"/>
        <v>-1544914.4899999998</v>
      </c>
      <c r="N1104" s="9">
        <f t="shared" si="203"/>
        <v>518440.52999999956</v>
      </c>
    </row>
    <row r="1105" ht="4.95" customHeight="1" x14ac:dyDescent="0.2"/>
    <row r="1106" ht="4.95" customHeight="1" x14ac:dyDescent="0.2"/>
  </sheetData>
  <mergeCells count="18">
    <mergeCell ref="L6"/>
    <mergeCell ref="M6"/>
    <mergeCell ref="N6"/>
    <mergeCell ref="A1:N1"/>
    <mergeCell ref="A2:N2"/>
    <mergeCell ref="A3:N3"/>
    <mergeCell ref="A4:N4"/>
    <mergeCell ref="A5:N5"/>
    <mergeCell ref="G6"/>
    <mergeCell ref="H6"/>
    <mergeCell ref="I6"/>
    <mergeCell ref="J6"/>
    <mergeCell ref="K6"/>
    <mergeCell ref="B6"/>
    <mergeCell ref="C6"/>
    <mergeCell ref="D6"/>
    <mergeCell ref="E6"/>
    <mergeCell ref="F6"/>
  </mergeCells>
  <printOptions horizontalCentered="1"/>
  <pageMargins left="0.25" right="0.25" top="0.25" bottom="0.42" header="0.3" footer="0.3"/>
  <pageSetup fitToHeight="0" orientation="landscape" horizontalDpi="0" verticalDpi="0"/>
  <headerFooter scaleWithDoc="0">
    <oddHeader>&amp;L&amp;"Aptos"&amp;11&amp;K008000 Information Classification - General&amp;1#_x000D_</oddHeader>
    <oddFooter>&amp;L&amp;6 05/12/2026 06:27:41 AM</oddFooter>
  </headerFooter>
</worksheet>
</file>

<file path=docMetadata/LabelInfo.xml><?xml version="1.0" encoding="utf-8"?>
<clbl:labelList xmlns:clbl="http://schemas.microsoft.com/office/2020/mipLabelMetadata">
  <clbl:label id="{2034ba00-d6fe-4eb5-af2c-5456f4ab6395}" enabled="1" method="Privileged" siteId="{686658ba-ae75-45fa-8ba9-7cefe64e294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Combined</vt:lpstr>
      <vt:lpstr>Combined!Print_Titles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 Babu</cp:lastModifiedBy>
  <dcterms:modified xsi:type="dcterms:W3CDTF">2026-05-12T10:31:25Z</dcterms:modified>
</cp:coreProperties>
</file>